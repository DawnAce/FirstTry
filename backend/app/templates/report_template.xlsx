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fileSharing userName="user" reservationPassword="CC6F"/>
  <workbookPr/>
  <bookViews>
    <workbookView windowWidth="28800" windowHeight="12255"/>
  </bookViews>
  <sheets>
    <sheet name="北京印厂" sheetId="1" r:id="rId1"/>
    <sheet name="人民日报印厂`" sheetId="2" r:id="rId2"/>
    <sheet name="零售渠道`" sheetId="3" r:id="rId3"/>
    <sheet name="订阅渠道`" sheetId="4" r:id="rId4"/>
    <sheet name="社用报`" sheetId="5" r:id="rId5"/>
    <sheet name="收发室自留分发（需打印）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zzc</author>
  </authors>
  <commentList>
    <comment ref="A3" authorId="0">
      <text>
        <r>
          <rPr>
            <sz val="9"/>
            <rFont val="宋体"/>
            <charset val="134"/>
          </rPr>
          <t xml:space="preserve">原始数据
</t>
        </r>
      </text>
    </comment>
    <comment ref="A7" authorId="0">
      <text>
        <r>
          <rPr>
            <sz val="9"/>
            <rFont val="宋体"/>
            <charset val="134"/>
          </rPr>
          <t>收发室自留分发</t>
        </r>
      </text>
    </comment>
    <comment ref="A8" authorId="0">
      <text>
        <r>
          <rPr>
            <sz val="9"/>
            <rFont val="宋体"/>
            <charset val="134"/>
          </rPr>
          <t>外埠（传统）零售（广州日报+上海教育超市+江苏零报）
+发行商自订自投（订阅渠道）（国图贸、杂志铺、广州日报）
+设用报总
-分发总和</t>
        </r>
      </text>
    </comment>
  </commentList>
</comments>
</file>

<file path=xl/comments2.xml><?xml version="1.0" encoding="utf-8"?>
<comments xmlns="http://schemas.openxmlformats.org/spreadsheetml/2006/main">
  <authors>
    <author>zzc</author>
  </authors>
  <commentList>
    <comment ref="D3" authorId="0">
      <text>
        <r>
          <rPr>
            <sz val="9"/>
            <rFont val="宋体"/>
            <charset val="134"/>
          </rPr>
          <t>上交表时：
隐藏该列！！！</t>
        </r>
      </text>
    </comment>
    <comment ref="B8" authorId="0">
      <text>
        <r>
          <rPr>
            <sz val="9"/>
            <rFont val="宋体"/>
            <charset val="134"/>
          </rPr>
          <t xml:space="preserve">北京报刊局（周五）通知：
本市+损失/2
</t>
        </r>
      </text>
    </comment>
    <comment ref="B9" authorId="0">
      <text>
        <r>
          <rPr>
            <sz val="9"/>
            <rFont val="宋体"/>
            <charset val="134"/>
          </rPr>
          <t xml:space="preserve">北京报刊局（周五）通知：
外埠+损失/2
</t>
        </r>
      </text>
    </comment>
    <comment ref="A10" authorId="0">
      <text>
        <r>
          <rPr>
            <sz val="9"/>
            <rFont val="宋体"/>
            <charset val="134"/>
          </rPr>
          <t xml:space="preserve">北京报刊零售局总要数=东部+西部
</t>
        </r>
      </text>
    </comment>
    <comment ref="A11" authorId="0">
      <text>
        <r>
          <rPr>
            <sz val="9"/>
            <rFont val="宋体"/>
            <charset val="134"/>
          </rPr>
          <t>传统零售：
广州日报（零售）</t>
        </r>
      </text>
    </comment>
    <comment ref="A12" authorId="0">
      <text>
        <r>
          <rPr>
            <sz val="9"/>
            <rFont val="宋体"/>
            <charset val="134"/>
          </rPr>
          <t>站用总和（上海、广东、西安、成都）</t>
        </r>
      </text>
    </comment>
    <comment ref="A13" authorId="0">
      <text>
        <r>
          <rPr>
            <sz val="9"/>
            <rFont val="宋体"/>
            <charset val="134"/>
          </rPr>
          <t xml:space="preserve">订阅渠道：
国图贸+广州日报（订阅）+杂志铺
</t>
        </r>
      </text>
    </comment>
    <comment ref="A14" authorId="0">
      <text>
        <r>
          <rPr>
            <sz val="9"/>
            <rFont val="宋体"/>
            <charset val="134"/>
          </rPr>
          <t>上犹30+高铁站展示115</t>
        </r>
      </text>
    </comment>
    <comment ref="A15" authorId="0">
      <text>
        <r>
          <rPr>
            <sz val="9"/>
            <rFont val="宋体"/>
            <charset val="134"/>
          </rPr>
          <t>社内打印总+中通读者+中通备用+印厂留存</t>
        </r>
      </text>
    </comment>
    <comment ref="A23" authorId="0">
      <text>
        <r>
          <rPr>
            <b/>
            <sz val="9"/>
            <rFont val="宋体"/>
            <charset val="134"/>
          </rPr>
          <t>zzc:</t>
        </r>
        <r>
          <rPr>
            <sz val="9"/>
            <rFont val="宋体"/>
            <charset val="134"/>
          </rPr>
          <t xml:space="preserve">
整表不需要任何变动！！！</t>
        </r>
      </text>
    </comment>
  </commentList>
</comments>
</file>

<file path=xl/comments3.xml><?xml version="1.0" encoding="utf-8"?>
<comments xmlns="http://schemas.openxmlformats.org/spreadsheetml/2006/main">
  <authors>
    <author>zzc</author>
    <author>HP</author>
  </authors>
  <commentList>
    <comment ref="C3" authorId="0">
      <text>
        <r>
          <rPr>
            <sz val="9"/>
            <rFont val="宋体"/>
            <charset val="134"/>
          </rPr>
          <t>上交时隐藏！！！</t>
        </r>
      </text>
    </comment>
    <comment ref="B4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东部
</t>
        </r>
      </text>
    </comment>
    <comment ref="C4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东部
</t>
        </r>
      </text>
    </comment>
    <comment ref="B5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西部</t>
        </r>
      </text>
    </comment>
    <comment ref="C5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西部</t>
        </r>
      </text>
    </comment>
  </commentList>
</comments>
</file>

<file path=xl/comments4.xml><?xml version="1.0" encoding="utf-8"?>
<comments xmlns="http://schemas.openxmlformats.org/spreadsheetml/2006/main">
  <authors>
    <author>zzc</author>
  </authors>
  <commentList>
    <comment ref="A4" authorId="0">
      <text>
        <r>
          <rPr>
            <b/>
            <sz val="9"/>
            <rFont val="宋体"/>
            <charset val="134"/>
          </rPr>
          <t>zzc:</t>
        </r>
        <r>
          <rPr>
            <sz val="9"/>
            <rFont val="宋体"/>
            <charset val="134"/>
          </rPr>
          <t xml:space="preserve">
周五12点左右报数，北京报刊印数通知单-合计</t>
        </r>
      </text>
    </comment>
    <comment ref="B4" authorId="0">
      <text>
        <r>
          <rPr>
            <b/>
            <sz val="9"/>
            <rFont val="宋体"/>
            <charset val="134"/>
          </rPr>
          <t>zzc:</t>
        </r>
        <r>
          <rPr>
            <sz val="9"/>
            <rFont val="宋体"/>
            <charset val="134"/>
          </rPr>
          <t xml:space="preserve">
有公示，仅核对</t>
        </r>
      </text>
    </comment>
    <comment ref="A5" authorId="0">
      <text>
        <r>
          <rPr>
            <b/>
            <sz val="9"/>
            <rFont val="宋体"/>
            <charset val="134"/>
          </rPr>
          <t>zzc:</t>
        </r>
        <r>
          <rPr>
            <sz val="9"/>
            <rFont val="宋体"/>
            <charset val="134"/>
          </rPr>
          <t xml:space="preserve">
有变化会通知，其余不变</t>
        </r>
      </text>
    </comment>
  </commentList>
</comments>
</file>

<file path=xl/comments5.xml><?xml version="1.0" encoding="utf-8"?>
<comments xmlns="http://schemas.openxmlformats.org/spreadsheetml/2006/main">
  <authors>
    <author>zzc</author>
    <author>HP</author>
  </authors>
  <commentList>
    <comment ref="A4" authorId="0">
      <text>
        <r>
          <rPr>
            <sz val="9"/>
            <rFont val="宋体"/>
            <charset val="134"/>
          </rPr>
          <t>打印分发（营报）+【（上犹+丹凤+读者）+备用报（中通数据合计）】</t>
        </r>
      </text>
    </comment>
    <comment ref="A8" authorId="0">
      <text>
        <r>
          <rPr>
            <sz val="9"/>
            <rFont val="宋体"/>
            <charset val="134"/>
          </rPr>
          <t>齐士娟报数
周五</t>
        </r>
      </text>
    </comment>
    <comment ref="A9" authorId="0">
      <text>
        <r>
          <rPr>
            <sz val="9"/>
            <rFont val="宋体"/>
            <charset val="134"/>
          </rPr>
          <t xml:space="preserve">何春晓报数
周五
</t>
        </r>
      </text>
    </comment>
    <comment ref="B9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自本周起西安办事处每期10份报</t>
        </r>
      </text>
    </comment>
    <comment ref="C9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自本周起西安办事处每期10份报</t>
        </r>
      </text>
    </comment>
    <comment ref="A19" authorId="0">
      <text>
        <r>
          <rPr>
            <sz val="9"/>
            <rFont val="宋体"/>
            <charset val="134"/>
          </rPr>
          <t>齐士娟报数</t>
        </r>
      </text>
    </comment>
    <comment ref="B19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疫情影响停发，等站里同事通知后恢复</t>
        </r>
      </text>
    </comment>
    <comment ref="C19" authorId="1">
      <text>
        <r>
          <rPr>
            <b/>
            <sz val="9"/>
            <rFont val="宋体"/>
            <charset val="134"/>
          </rPr>
          <t>HP:</t>
        </r>
        <r>
          <rPr>
            <sz val="9"/>
            <rFont val="宋体"/>
            <charset val="134"/>
          </rPr>
          <t xml:space="preserve">
疫情影响停发，等站里同事通知后恢复</t>
        </r>
      </text>
    </comment>
  </commentList>
</comments>
</file>

<file path=xl/comments6.xml><?xml version="1.0" encoding="utf-8"?>
<comments xmlns="http://schemas.openxmlformats.org/spreadsheetml/2006/main">
  <authors>
    <author>zzc</author>
  </authors>
  <commentList>
    <comment ref="A5" authorId="0">
      <text>
        <r>
          <rPr>
            <sz val="9"/>
            <rFont val="宋体"/>
            <charset val="134"/>
          </rPr>
          <t>自留：
屈丽丽、张中成、杨老师、夏文超、前台、杨一萍共6人固定投放。
另外15份固定备用报。
共计21份。</t>
        </r>
      </text>
    </comment>
    <comment ref="A12" authorId="0">
      <text>
        <r>
          <rPr>
            <b/>
            <sz val="9"/>
            <rFont val="宋体"/>
            <charset val="134"/>
          </rPr>
          <t>zzc:</t>
        </r>
        <r>
          <rPr>
            <sz val="9"/>
            <rFont val="宋体"/>
            <charset val="134"/>
          </rPr>
          <t xml:space="preserve">
无特殊情况均为5份</t>
        </r>
      </text>
    </comment>
  </commentList>
</comments>
</file>

<file path=xl/sharedStrings.xml><?xml version="1.0" encoding="utf-8"?>
<sst xmlns="http://schemas.openxmlformats.org/spreadsheetml/2006/main" count="204" uniqueCount="106">
  <si>
    <t>中国经营报印数表</t>
  </si>
  <si>
    <t>（此表给人民日报印厂邮一科）</t>
  </si>
  <si>
    <t>期数：2649   版数：24    出版日期：2026年4月27日</t>
  </si>
  <si>
    <t>渠道名称</t>
  </si>
  <si>
    <t>数量</t>
  </si>
  <si>
    <t>插报要求</t>
  </si>
  <si>
    <r>
      <rPr>
        <sz val="12"/>
        <rFont val="宋体"/>
        <charset val="134"/>
      </rPr>
      <t xml:space="preserve">北京报刊局
</t>
    </r>
    <r>
      <rPr>
        <sz val="9"/>
        <rFont val="宋体"/>
        <charset val="134"/>
      </rPr>
      <t>(邮发）</t>
    </r>
  </si>
  <si>
    <t>本市</t>
  </si>
  <si>
    <t>外埠</t>
  </si>
  <si>
    <t>报社总部（社用）</t>
  </si>
  <si>
    <r>
      <rPr>
        <sz val="12"/>
        <rFont val="宋体"/>
        <charset val="134"/>
      </rPr>
      <t>早</t>
    </r>
    <r>
      <rPr>
        <sz val="12"/>
        <rFont val="Times New Roman"/>
        <charset val="1"/>
      </rPr>
      <t>4</t>
    </r>
    <r>
      <rPr>
        <sz val="12"/>
        <rFont val="宋体"/>
        <charset val="134"/>
      </rPr>
      <t>：</t>
    </r>
    <r>
      <rPr>
        <sz val="12"/>
        <rFont val="Times New Roman"/>
        <charset val="1"/>
      </rPr>
      <t>00</t>
    </r>
    <r>
      <rPr>
        <sz val="12"/>
        <rFont val="宋体"/>
        <charset val="134"/>
      </rPr>
      <t>前插报完成</t>
    </r>
  </si>
  <si>
    <t>报社总部（其他）</t>
  </si>
  <si>
    <r>
      <rPr>
        <sz val="12"/>
        <rFont val="宋体"/>
        <charset val="134"/>
      </rPr>
      <t xml:space="preserve">北京零售公司
</t>
    </r>
    <r>
      <rPr>
        <sz val="9"/>
        <rFont val="宋体"/>
        <charset val="134"/>
      </rPr>
      <t>(邮局-快速邮路）</t>
    </r>
  </si>
  <si>
    <t>东部</t>
  </si>
  <si>
    <r>
      <rPr>
        <sz val="12"/>
        <rFont val="宋体"/>
        <charset val="134"/>
      </rPr>
      <t>早</t>
    </r>
    <r>
      <rPr>
        <sz val="12"/>
        <rFont val="Times New Roman"/>
        <charset val="1"/>
      </rPr>
      <t>2</t>
    </r>
    <r>
      <rPr>
        <sz val="12"/>
        <rFont val="宋体"/>
        <charset val="134"/>
      </rPr>
      <t>：</t>
    </r>
    <r>
      <rPr>
        <sz val="12"/>
        <rFont val="Times New Roman"/>
        <charset val="1"/>
      </rPr>
      <t>3</t>
    </r>
    <r>
      <rPr>
        <sz val="12"/>
        <rFont val="宋体"/>
        <charset val="134"/>
      </rPr>
      <t>0前插报完成</t>
    </r>
  </si>
  <si>
    <t>西部</t>
  </si>
  <si>
    <t>合订本专用</t>
  </si>
  <si>
    <t>印厂留存</t>
  </si>
  <si>
    <t>合计</t>
  </si>
  <si>
    <t>中国经营报社印务部</t>
  </si>
  <si>
    <t>制表时间：2026年4月24日</t>
  </si>
  <si>
    <t>中国经营报印数合计</t>
  </si>
  <si>
    <r>
      <rPr>
        <b/>
        <sz val="14"/>
        <rFont val="宋体"/>
        <charset val="134"/>
      </rPr>
      <t>地</t>
    </r>
    <r>
      <rPr>
        <b/>
        <sz val="14"/>
        <rFont val="宋体"/>
        <charset val="1"/>
      </rPr>
      <t xml:space="preserve">               </t>
    </r>
    <r>
      <rPr>
        <b/>
        <sz val="14"/>
        <rFont val="宋体"/>
        <charset val="134"/>
      </rPr>
      <t>点</t>
    </r>
  </si>
  <si>
    <t>本期印数</t>
  </si>
  <si>
    <t>上期印数</t>
  </si>
  <si>
    <t>同上期比</t>
  </si>
  <si>
    <t>比率</t>
  </si>
  <si>
    <t>北京印厂印数</t>
  </si>
  <si>
    <t>类别</t>
  </si>
  <si>
    <t>　同上期比</t>
  </si>
  <si>
    <t>北京报刊局
（邮发）</t>
  </si>
  <si>
    <t>北京零售公司</t>
  </si>
  <si>
    <t>外埠零售渠道</t>
  </si>
  <si>
    <t>打印</t>
  </si>
  <si>
    <t>驻外地机构用报</t>
  </si>
  <si>
    <t>读者</t>
  </si>
  <si>
    <t>发行商订阅自投</t>
  </si>
  <si>
    <t>备用</t>
  </si>
  <si>
    <t>报社订阅自投/展示</t>
  </si>
  <si>
    <t>社内用</t>
  </si>
  <si>
    <t>临时加印</t>
  </si>
  <si>
    <t>-</t>
  </si>
  <si>
    <t>总印数</t>
  </si>
  <si>
    <r>
      <rPr>
        <sz val="14"/>
        <rFont val="宋体"/>
        <charset val="134"/>
      </rPr>
      <t>制表：卢娅丽</t>
    </r>
    <r>
      <rPr>
        <sz val="14"/>
        <rFont val="宋体"/>
        <charset val="1"/>
      </rPr>
      <t xml:space="preserve">    </t>
    </r>
    <r>
      <rPr>
        <sz val="14"/>
        <rFont val="宋体"/>
        <charset val="134"/>
      </rPr>
      <t>负责人签字：</t>
    </r>
  </si>
  <si>
    <t>传统零售渠道报数统计</t>
  </si>
  <si>
    <t>印刷地点</t>
  </si>
  <si>
    <t>北京报零</t>
  </si>
  <si>
    <r>
      <rPr>
        <sz val="14"/>
        <rFont val="宋体"/>
        <charset val="134"/>
      </rPr>
      <t xml:space="preserve">广州日报
</t>
    </r>
    <r>
      <rPr>
        <b/>
        <sz val="9"/>
        <rFont val="宋体"/>
        <charset val="134"/>
      </rPr>
      <t>（零售）</t>
    </r>
  </si>
  <si>
    <t>北京快递</t>
  </si>
  <si>
    <t>报数合计</t>
  </si>
  <si>
    <t>订阅渠道报数统计</t>
  </si>
  <si>
    <r>
      <rPr>
        <sz val="14"/>
        <rFont val="宋体"/>
        <charset val="134"/>
      </rPr>
      <t xml:space="preserve">北京报刊局
</t>
    </r>
    <r>
      <rPr>
        <b/>
        <sz val="9"/>
        <rFont val="宋体"/>
        <charset val="134"/>
      </rPr>
      <t>（邮发）</t>
    </r>
  </si>
  <si>
    <t>国图贸</t>
  </si>
  <si>
    <r>
      <rPr>
        <sz val="14"/>
        <rFont val="宋体"/>
        <charset val="134"/>
      </rPr>
      <t xml:space="preserve">广州日报
</t>
    </r>
    <r>
      <rPr>
        <b/>
        <sz val="9"/>
        <rFont val="宋体"/>
        <charset val="134"/>
      </rPr>
      <t>（订户）</t>
    </r>
  </si>
  <si>
    <t>杂志铺</t>
  </si>
  <si>
    <t>《中国经营报》社用报统计表</t>
  </si>
  <si>
    <t>地点</t>
  </si>
  <si>
    <t>分发地</t>
  </si>
  <si>
    <t>营报传媒</t>
  </si>
  <si>
    <t>报社</t>
  </si>
  <si>
    <t>北京</t>
  </si>
  <si>
    <t>中经传媒智库</t>
  </si>
  <si>
    <t>新闻中心</t>
  </si>
  <si>
    <t>行政</t>
  </si>
  <si>
    <t>财经中心</t>
  </si>
  <si>
    <t>产经中心</t>
  </si>
  <si>
    <t>出版中心</t>
  </si>
  <si>
    <t>品牌中心</t>
  </si>
  <si>
    <t>经营网</t>
  </si>
  <si>
    <t>法务</t>
  </si>
  <si>
    <t>社科院、工经所</t>
  </si>
  <si>
    <t>财务</t>
  </si>
  <si>
    <t>库房</t>
  </si>
  <si>
    <t>上犹</t>
  </si>
  <si>
    <t>上海站用</t>
  </si>
  <si>
    <t>上海</t>
  </si>
  <si>
    <t>高铁展示</t>
  </si>
  <si>
    <t>广东站用</t>
  </si>
  <si>
    <t>广东</t>
  </si>
  <si>
    <t>成都站用</t>
  </si>
  <si>
    <t>成都</t>
  </si>
  <si>
    <t>西安站用</t>
  </si>
  <si>
    <t>西安</t>
  </si>
  <si>
    <t>营报传媒加印</t>
  </si>
  <si>
    <t>财经中心加印</t>
  </si>
  <si>
    <t>中经未来</t>
  </si>
  <si>
    <t>产经中心加印</t>
  </si>
  <si>
    <t>展示</t>
  </si>
  <si>
    <t>《中国经营报》社用报分发表</t>
  </si>
  <si>
    <t>部门</t>
  </si>
  <si>
    <t>领用人</t>
  </si>
  <si>
    <t>备注</t>
  </si>
  <si>
    <t>领用人签字</t>
  </si>
  <si>
    <t>卢娅丽</t>
  </si>
  <si>
    <t>赵震平</t>
  </si>
  <si>
    <t>翟军</t>
  </si>
  <si>
    <t>黄鹤</t>
  </si>
  <si>
    <t>齐士娟</t>
  </si>
  <si>
    <t>刘家懿</t>
  </si>
  <si>
    <t>张威</t>
  </si>
  <si>
    <t>孙明胜</t>
  </si>
  <si>
    <t>张伊萍</t>
  </si>
  <si>
    <t>社科院43、工经所21</t>
  </si>
  <si>
    <t>王钧</t>
  </si>
  <si>
    <t>临时加印（报社内存）</t>
  </si>
  <si>
    <t>捆数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</si>
</sst>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&quot;年&quot;m&quot;月&quot;d&quot;日&quot;;@"/>
  </numFmts>
  <fonts count="71">
    <font>
      <sz val="11"/>
      <color theme="1"/>
      <name val="宋体"/>
      <charset val="134"/>
      <scheme val="minor"/>
    </font>
    <font>
      <b/>
      <sz val="12"/>
      <color indexed="8"/>
      <name val="宋体"/>
      <charset val="134"/>
    </font>
    <font>
      <b/>
      <sz val="20"/>
      <color indexed="8"/>
      <name val="宋体"/>
      <charset val="134"/>
    </font>
    <font>
      <b/>
      <sz val="14"/>
      <color indexed="8"/>
      <name val="宋体"/>
      <charset val="134"/>
    </font>
    <font>
      <b/>
      <sz val="12"/>
      <color rgb="FF000000"/>
      <name val="宋体"/>
      <charset val="134"/>
    </font>
    <font>
      <b/>
      <sz val="12"/>
      <name val="宋体"/>
      <charset val="134"/>
    </font>
    <font>
      <b/>
      <sz val="12"/>
      <color indexed="8"/>
      <name val="黑体"/>
      <charset val="134"/>
    </font>
    <font>
      <b/>
      <sz val="10"/>
      <color indexed="8"/>
      <name val="宋体"/>
      <charset val="134"/>
    </font>
    <font>
      <b/>
      <sz val="16"/>
      <color indexed="8"/>
      <name val="宋体"/>
      <charset val="134"/>
    </font>
    <font>
      <b/>
      <sz val="11"/>
      <name val="宋体"/>
      <charset val="134"/>
    </font>
    <font>
      <b/>
      <sz val="14"/>
      <name val="微软雅黑"/>
      <charset val="134"/>
    </font>
    <font>
      <b/>
      <i/>
      <sz val="14"/>
      <name val="微软雅黑"/>
      <charset val="134"/>
    </font>
    <font>
      <b/>
      <sz val="22"/>
      <name val="宋体"/>
      <charset val="134"/>
    </font>
    <font>
      <b/>
      <sz val="14"/>
      <name val="宋体"/>
      <charset val="134"/>
    </font>
    <font>
      <sz val="12"/>
      <name val="宋体"/>
      <charset val="134"/>
    </font>
    <font>
      <b/>
      <sz val="12"/>
      <name val="宋体"/>
      <charset val="1"/>
    </font>
    <font>
      <b/>
      <u/>
      <sz val="12"/>
      <name val="宋体"/>
      <charset val="1"/>
    </font>
    <font>
      <sz val="12"/>
      <name val="宋体"/>
      <charset val="1"/>
    </font>
    <font>
      <sz val="11"/>
      <name val="宋体"/>
      <charset val="134"/>
    </font>
    <font>
      <b/>
      <sz val="11"/>
      <color theme="9"/>
      <name val="宋体"/>
      <charset val="134"/>
    </font>
    <font>
      <b/>
      <u/>
      <sz val="12"/>
      <name val="宋体"/>
      <charset val="134"/>
    </font>
    <font>
      <b/>
      <u/>
      <sz val="11"/>
      <name val="宋体"/>
      <charset val="134"/>
    </font>
    <font>
      <b/>
      <i/>
      <sz val="14"/>
      <name val="宋体"/>
      <charset val="134"/>
    </font>
    <font>
      <b/>
      <i/>
      <sz val="11"/>
      <name val="宋体"/>
      <charset val="134"/>
    </font>
    <font>
      <sz val="14"/>
      <name val="黑体"/>
      <charset val="134"/>
    </font>
    <font>
      <b/>
      <i/>
      <u/>
      <sz val="14"/>
      <name val="黑体"/>
      <charset val="134"/>
    </font>
    <font>
      <b/>
      <sz val="18"/>
      <name val="宋体"/>
      <charset val="134"/>
    </font>
    <font>
      <sz val="14"/>
      <name val="宋体"/>
      <charset val="134"/>
    </font>
    <font>
      <u/>
      <sz val="14"/>
      <name val="宋体"/>
      <charset val="134"/>
    </font>
    <font>
      <b/>
      <i/>
      <u/>
      <sz val="14"/>
      <name val="宋体"/>
      <charset val="134"/>
    </font>
    <font>
      <sz val="12"/>
      <name val="黑体"/>
      <charset val="134"/>
    </font>
    <font>
      <b/>
      <i/>
      <u/>
      <sz val="12"/>
      <name val="黑体"/>
      <charset val="134"/>
    </font>
    <font>
      <b/>
      <u/>
      <sz val="14"/>
      <name val="宋体"/>
      <charset val="134"/>
    </font>
    <font>
      <sz val="11"/>
      <color theme="1"/>
      <name val="宋体"/>
      <charset val="134"/>
    </font>
    <font>
      <sz val="13"/>
      <name val="宋体"/>
      <charset val="134"/>
    </font>
    <font>
      <b/>
      <sz val="13"/>
      <name val="宋体"/>
      <charset val="134"/>
    </font>
    <font>
      <sz val="12"/>
      <color theme="1"/>
      <name val="宋体"/>
      <charset val="134"/>
      <scheme val="minor"/>
    </font>
    <font>
      <b/>
      <sz val="10"/>
      <name val="宋体"/>
      <charset val="134"/>
    </font>
    <font>
      <b/>
      <sz val="12"/>
      <color theme="9"/>
      <name val="宋体"/>
      <charset val="134"/>
    </font>
    <font>
      <b/>
      <sz val="18"/>
      <name val="Times New Roman"/>
      <charset val="1"/>
    </font>
    <font>
      <sz val="14"/>
      <color theme="1"/>
      <name val="宋体"/>
      <charset val="134"/>
      <scheme val="minor"/>
    </font>
    <font>
      <sz val="12"/>
      <name val="Times New Roman"/>
      <charset val="1"/>
    </font>
    <font>
      <b/>
      <sz val="16"/>
      <name val="黑体"/>
      <charset val="134"/>
    </font>
    <font>
      <b/>
      <sz val="14"/>
      <name val="Times New Roman"/>
      <charset val="1"/>
    </font>
    <font>
      <b/>
      <sz val="12"/>
      <name val="黑体"/>
      <charset val="134"/>
    </font>
    <font>
      <b/>
      <sz val="2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宋体"/>
      <charset val="134"/>
    </font>
    <font>
      <sz val="14"/>
      <name val="宋体"/>
      <charset val="1"/>
    </font>
    <font>
      <b/>
      <sz val="14"/>
      <name val="宋体"/>
      <charset val="1"/>
    </font>
    <font>
      <sz val="9"/>
      <name val="宋体"/>
      <charset val="134"/>
    </font>
    <font>
      <sz val="9"/>
      <name val="宋体"/>
      <charset val="134"/>
    </font>
    <font>
      <b/>
      <sz val="9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54">
    <border>
      <left/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double">
        <color auto="1"/>
      </bottom>
      <diagonal/>
    </border>
    <border>
      <left style="medium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6" fillId="0" borderId="0" applyNumberFormat="0" applyFill="0" applyBorder="0" applyAlignment="0" applyProtection="0">
      <alignment vertical="center"/>
    </xf>
    <xf numFmtId="0" fontId="47" fillId="0" borderId="0" applyNumberFormat="0" applyFill="0" applyBorder="0" applyAlignment="0" applyProtection="0">
      <alignment vertical="center"/>
    </xf>
    <xf numFmtId="0" fontId="0" fillId="2" borderId="46" applyNumberFormat="0" applyFont="0" applyAlignment="0" applyProtection="0">
      <alignment vertical="center"/>
    </xf>
    <xf numFmtId="0" fontId="48" fillId="0" borderId="0" applyNumberFormat="0" applyFill="0" applyBorder="0" applyAlignment="0" applyProtection="0">
      <alignment vertical="center"/>
    </xf>
    <xf numFmtId="0" fontId="49" fillId="0" borderId="0" applyNumberFormat="0" applyFill="0" applyBorder="0" applyAlignment="0" applyProtection="0">
      <alignment vertical="center"/>
    </xf>
    <xf numFmtId="0" fontId="50" fillId="0" borderId="0" applyNumberFormat="0" applyFill="0" applyBorder="0" applyAlignment="0" applyProtection="0">
      <alignment vertical="center"/>
    </xf>
    <xf numFmtId="0" fontId="51" fillId="0" borderId="47" applyNumberFormat="0" applyFill="0" applyAlignment="0" applyProtection="0">
      <alignment vertical="center"/>
    </xf>
    <xf numFmtId="0" fontId="52" fillId="0" borderId="47" applyNumberFormat="0" applyFill="0" applyAlignment="0" applyProtection="0">
      <alignment vertical="center"/>
    </xf>
    <xf numFmtId="0" fontId="53" fillId="0" borderId="48" applyNumberFormat="0" applyFill="0" applyAlignment="0" applyProtection="0">
      <alignment vertical="center"/>
    </xf>
    <xf numFmtId="0" fontId="53" fillId="0" borderId="0" applyNumberFormat="0" applyFill="0" applyBorder="0" applyAlignment="0" applyProtection="0">
      <alignment vertical="center"/>
    </xf>
    <xf numFmtId="0" fontId="54" fillId="3" borderId="49" applyNumberFormat="0" applyAlignment="0" applyProtection="0">
      <alignment vertical="center"/>
    </xf>
    <xf numFmtId="0" fontId="55" fillId="4" borderId="50" applyNumberFormat="0" applyAlignment="0" applyProtection="0">
      <alignment vertical="center"/>
    </xf>
    <xf numFmtId="0" fontId="56" fillId="4" borderId="49" applyNumberFormat="0" applyAlignment="0" applyProtection="0">
      <alignment vertical="center"/>
    </xf>
    <xf numFmtId="0" fontId="57" fillId="5" borderId="51" applyNumberFormat="0" applyAlignment="0" applyProtection="0">
      <alignment vertical="center"/>
    </xf>
    <xf numFmtId="0" fontId="58" fillId="0" borderId="52" applyNumberFormat="0" applyFill="0" applyAlignment="0" applyProtection="0">
      <alignment vertical="center"/>
    </xf>
    <xf numFmtId="0" fontId="59" fillId="0" borderId="53" applyNumberFormat="0" applyFill="0" applyAlignment="0" applyProtection="0">
      <alignment vertical="center"/>
    </xf>
    <xf numFmtId="0" fontId="60" fillId="6" borderId="0" applyNumberFormat="0" applyBorder="0" applyAlignment="0" applyProtection="0">
      <alignment vertical="center"/>
    </xf>
    <xf numFmtId="0" fontId="61" fillId="7" borderId="0" applyNumberFormat="0" applyBorder="0" applyAlignment="0" applyProtection="0">
      <alignment vertical="center"/>
    </xf>
    <xf numFmtId="0" fontId="62" fillId="8" borderId="0" applyNumberFormat="0" applyBorder="0" applyAlignment="0" applyProtection="0">
      <alignment vertical="center"/>
    </xf>
    <xf numFmtId="0" fontId="63" fillId="9" borderId="0" applyNumberFormat="0" applyBorder="0" applyAlignment="0" applyProtection="0">
      <alignment vertical="center"/>
    </xf>
    <xf numFmtId="0" fontId="64" fillId="10" borderId="0" applyNumberFormat="0" applyBorder="0" applyAlignment="0" applyProtection="0">
      <alignment vertical="center"/>
    </xf>
    <xf numFmtId="0" fontId="64" fillId="11" borderId="0" applyNumberFormat="0" applyBorder="0" applyAlignment="0" applyProtection="0">
      <alignment vertical="center"/>
    </xf>
    <xf numFmtId="0" fontId="63" fillId="12" borderId="0" applyNumberFormat="0" applyBorder="0" applyAlignment="0" applyProtection="0">
      <alignment vertical="center"/>
    </xf>
    <xf numFmtId="0" fontId="63" fillId="13" borderId="0" applyNumberFormat="0" applyBorder="0" applyAlignment="0" applyProtection="0">
      <alignment vertical="center"/>
    </xf>
    <xf numFmtId="0" fontId="64" fillId="14" borderId="0" applyNumberFormat="0" applyBorder="0" applyAlignment="0" applyProtection="0">
      <alignment vertical="center"/>
    </xf>
    <xf numFmtId="0" fontId="64" fillId="15" borderId="0" applyNumberFormat="0" applyBorder="0" applyAlignment="0" applyProtection="0">
      <alignment vertical="center"/>
    </xf>
    <xf numFmtId="0" fontId="63" fillId="16" borderId="0" applyNumberFormat="0" applyBorder="0" applyAlignment="0" applyProtection="0">
      <alignment vertical="center"/>
    </xf>
    <xf numFmtId="0" fontId="63" fillId="17" borderId="0" applyNumberFormat="0" applyBorder="0" applyAlignment="0" applyProtection="0">
      <alignment vertical="center"/>
    </xf>
    <xf numFmtId="0" fontId="64" fillId="18" borderId="0" applyNumberFormat="0" applyBorder="0" applyAlignment="0" applyProtection="0">
      <alignment vertical="center"/>
    </xf>
    <xf numFmtId="0" fontId="64" fillId="19" borderId="0" applyNumberFormat="0" applyBorder="0" applyAlignment="0" applyProtection="0">
      <alignment vertical="center"/>
    </xf>
    <xf numFmtId="0" fontId="63" fillId="20" borderId="0" applyNumberFormat="0" applyBorder="0" applyAlignment="0" applyProtection="0">
      <alignment vertical="center"/>
    </xf>
    <xf numFmtId="0" fontId="63" fillId="21" borderId="0" applyNumberFormat="0" applyBorder="0" applyAlignment="0" applyProtection="0">
      <alignment vertical="center"/>
    </xf>
    <xf numFmtId="0" fontId="64" fillId="22" borderId="0" applyNumberFormat="0" applyBorder="0" applyAlignment="0" applyProtection="0">
      <alignment vertical="center"/>
    </xf>
    <xf numFmtId="0" fontId="64" fillId="23" borderId="0" applyNumberFormat="0" applyBorder="0" applyAlignment="0" applyProtection="0">
      <alignment vertical="center"/>
    </xf>
    <xf numFmtId="0" fontId="63" fillId="24" borderId="0" applyNumberFormat="0" applyBorder="0" applyAlignment="0" applyProtection="0">
      <alignment vertical="center"/>
    </xf>
    <xf numFmtId="0" fontId="63" fillId="25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7" borderId="0" applyNumberFormat="0" applyBorder="0" applyAlignment="0" applyProtection="0">
      <alignment vertical="center"/>
    </xf>
    <xf numFmtId="0" fontId="63" fillId="28" borderId="0" applyNumberFormat="0" applyBorder="0" applyAlignment="0" applyProtection="0">
      <alignment vertical="center"/>
    </xf>
    <xf numFmtId="0" fontId="63" fillId="29" borderId="0" applyNumberFormat="0" applyBorder="0" applyAlignment="0" applyProtection="0">
      <alignment vertical="center"/>
    </xf>
    <xf numFmtId="0" fontId="64" fillId="30" borderId="0" applyNumberFormat="0" applyBorder="0" applyAlignment="0" applyProtection="0">
      <alignment vertical="center"/>
    </xf>
    <xf numFmtId="0" fontId="64" fillId="31" borderId="0" applyNumberFormat="0" applyBorder="0" applyAlignment="0" applyProtection="0">
      <alignment vertical="center"/>
    </xf>
    <xf numFmtId="0" fontId="63" fillId="32" borderId="0" applyNumberFormat="0" applyBorder="0" applyAlignment="0" applyProtection="0">
      <alignment vertical="center"/>
    </xf>
  </cellStyleXfs>
  <cellXfs count="218">
    <xf numFmtId="0" fontId="0" fillId="0" borderId="0" xfId="0">
      <alignment vertical="center"/>
    </xf>
    <xf numFmtId="0" fontId="1" fillId="0" borderId="0" xfId="0" applyFont="1" applyFill="1" applyBorder="1" applyAlignment="1"/>
    <xf numFmtId="0" fontId="1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  <xf numFmtId="0" fontId="1" fillId="0" borderId="0" xfId="0" applyFont="1" applyFill="1" applyAlignment="1"/>
    <xf numFmtId="0" fontId="2" fillId="0" borderId="0" xfId="0" applyFont="1" applyFill="1" applyBorder="1" applyAlignment="1">
      <alignment horizontal="center"/>
    </xf>
    <xf numFmtId="0" fontId="3" fillId="0" borderId="0" xfId="0" applyFont="1" applyFill="1" applyBorder="1" applyAlignment="1">
      <alignment horizontal="left" vertical="top" wrapText="1"/>
    </xf>
    <xf numFmtId="0" fontId="3" fillId="0" borderId="0" xfId="0" applyFont="1" applyFill="1" applyBorder="1" applyAlignment="1">
      <alignment horizontal="center" vertical="top" wrapText="1"/>
    </xf>
    <xf numFmtId="0" fontId="3" fillId="0" borderId="0" xfId="0" applyFont="1" applyFill="1" applyBorder="1" applyAlignment="1">
      <alignment vertical="center" wrapText="1"/>
    </xf>
    <xf numFmtId="0" fontId="1" fillId="0" borderId="1" xfId="0" applyFont="1" applyFill="1" applyBorder="1" applyAlignment="1">
      <alignment horizontal="left"/>
    </xf>
    <xf numFmtId="0" fontId="1" fillId="0" borderId="2" xfId="0" applyFont="1" applyFill="1" applyBorder="1" applyAlignment="1">
      <alignment horizontal="center"/>
    </xf>
    <xf numFmtId="0" fontId="1" fillId="0" borderId="3" xfId="0" applyFont="1" applyFill="1" applyBorder="1" applyAlignment="1">
      <alignment horizontal="center"/>
    </xf>
    <xf numFmtId="0" fontId="1" fillId="0" borderId="4" xfId="0" applyFont="1" applyFill="1" applyBorder="1" applyAlignment="1">
      <alignment horizontal="center"/>
    </xf>
    <xf numFmtId="0" fontId="1" fillId="0" borderId="5" xfId="0" applyFont="1" applyFill="1" applyBorder="1" applyAlignment="1">
      <alignment horizontal="center"/>
    </xf>
    <xf numFmtId="0" fontId="4" fillId="0" borderId="6" xfId="0" applyFont="1" applyFill="1" applyBorder="1" applyAlignment="1">
      <alignment horizontal="left"/>
    </xf>
    <xf numFmtId="0" fontId="5" fillId="0" borderId="7" xfId="0" applyFont="1" applyFill="1" applyBorder="1" applyAlignment="1">
      <alignment horizontal="center"/>
    </xf>
    <xf numFmtId="0" fontId="1" fillId="0" borderId="8" xfId="0" applyFont="1" applyFill="1" applyBorder="1" applyAlignment="1">
      <alignment horizontal="center"/>
    </xf>
    <xf numFmtId="0" fontId="1" fillId="0" borderId="9" xfId="0" applyFont="1" applyFill="1" applyBorder="1" applyAlignment="1">
      <alignment horizontal="center"/>
    </xf>
    <xf numFmtId="0" fontId="1" fillId="0" borderId="10" xfId="0" applyFont="1" applyFill="1" applyBorder="1" applyAlignment="1">
      <alignment horizontal="center"/>
    </xf>
    <xf numFmtId="0" fontId="1" fillId="0" borderId="6" xfId="0" applyFont="1" applyFill="1" applyBorder="1" applyAlignment="1">
      <alignment horizontal="left"/>
    </xf>
    <xf numFmtId="0" fontId="1" fillId="0" borderId="9" xfId="0" applyFont="1" applyFill="1" applyBorder="1" applyAlignment="1">
      <alignment horizontal="left"/>
    </xf>
    <xf numFmtId="0" fontId="1" fillId="0" borderId="11" xfId="0" applyFont="1" applyFill="1" applyBorder="1" applyAlignment="1">
      <alignment horizontal="center"/>
    </xf>
    <xf numFmtId="0" fontId="1" fillId="0" borderId="12" xfId="0" applyFont="1" applyFill="1" applyBorder="1" applyAlignment="1">
      <alignment horizontal="left"/>
    </xf>
    <xf numFmtId="0" fontId="1" fillId="0" borderId="13" xfId="0" applyFont="1" applyFill="1" applyBorder="1" applyAlignment="1">
      <alignment horizontal="center"/>
    </xf>
    <xf numFmtId="0" fontId="1" fillId="0" borderId="14" xfId="0" applyFont="1" applyFill="1" applyBorder="1" applyAlignment="1">
      <alignment horizontal="center"/>
    </xf>
    <xf numFmtId="0" fontId="6" fillId="0" borderId="15" xfId="0" applyFont="1" applyFill="1" applyBorder="1" applyAlignment="1"/>
    <xf numFmtId="0" fontId="5" fillId="0" borderId="12" xfId="0" applyFont="1" applyFill="1" applyBorder="1" applyAlignment="1">
      <alignment horizontal="left"/>
    </xf>
    <xf numFmtId="0" fontId="5" fillId="0" borderId="13" xfId="0" applyFont="1" applyFill="1" applyBorder="1" applyAlignment="1">
      <alignment horizontal="center"/>
    </xf>
    <xf numFmtId="0" fontId="1" fillId="0" borderId="13" xfId="0" applyFont="1" applyFill="1" applyBorder="1" applyAlignment="1"/>
    <xf numFmtId="0" fontId="1" fillId="0" borderId="11" xfId="0" applyFont="1" applyFill="1" applyBorder="1" applyAlignment="1"/>
    <xf numFmtId="0" fontId="7" fillId="0" borderId="13" xfId="0" applyFont="1" applyFill="1" applyBorder="1" applyAlignment="1"/>
    <xf numFmtId="0" fontId="8" fillId="0" borderId="13" xfId="0" applyFont="1" applyFill="1" applyBorder="1" applyAlignment="1"/>
    <xf numFmtId="0" fontId="1" fillId="0" borderId="13" xfId="0" applyFont="1" applyFill="1" applyBorder="1" applyAlignment="1">
      <alignment horizontal="center" wrapText="1"/>
    </xf>
    <xf numFmtId="0" fontId="1" fillId="0" borderId="13" xfId="0" applyFont="1" applyFill="1" applyBorder="1" applyAlignment="1">
      <alignment wrapText="1"/>
    </xf>
    <xf numFmtId="0" fontId="1" fillId="0" borderId="16" xfId="0" applyFont="1" applyFill="1" applyBorder="1" applyAlignment="1">
      <alignment horizontal="left"/>
    </xf>
    <xf numFmtId="0" fontId="5" fillId="0" borderId="17" xfId="0" applyFont="1" applyFill="1" applyBorder="1" applyAlignment="1">
      <alignment horizontal="center"/>
    </xf>
    <xf numFmtId="0" fontId="1" fillId="0" borderId="17" xfId="0" applyFont="1" applyFill="1" applyBorder="1" applyAlignment="1">
      <alignment horizontal="center"/>
    </xf>
    <xf numFmtId="0" fontId="1" fillId="0" borderId="17" xfId="0" applyFont="1" applyFill="1" applyBorder="1" applyAlignment="1"/>
    <xf numFmtId="0" fontId="1" fillId="0" borderId="18" xfId="0" applyFont="1" applyFill="1" applyBorder="1" applyAlignment="1"/>
    <xf numFmtId="0" fontId="9" fillId="0" borderId="0" xfId="0" applyFont="1" applyFill="1" applyBorder="1" applyAlignment="1"/>
    <xf numFmtId="0" fontId="10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 vertical="center"/>
    </xf>
    <xf numFmtId="0" fontId="11" fillId="0" borderId="0" xfId="0" applyFont="1" applyFill="1" applyBorder="1" applyAlignment="1">
      <alignment horizontal="center" vertical="center"/>
    </xf>
    <xf numFmtId="0" fontId="9" fillId="0" borderId="0" xfId="0" applyFont="1" applyFill="1" applyBorder="1" applyAlignment="1">
      <alignment horizontal="center"/>
    </xf>
    <xf numFmtId="0" fontId="9" fillId="0" borderId="0" xfId="0" applyFont="1" applyFill="1" applyAlignment="1"/>
    <xf numFmtId="0" fontId="12" fillId="0" borderId="0" xfId="0" applyFont="1" applyFill="1" applyBorder="1" applyAlignment="1">
      <alignment horizontal="center"/>
    </xf>
    <xf numFmtId="0" fontId="13" fillId="0" borderId="0" xfId="0" applyFont="1" applyFill="1" applyBorder="1" applyAlignment="1"/>
    <xf numFmtId="0" fontId="13" fillId="0" borderId="19" xfId="0" applyFont="1" applyFill="1" applyBorder="1" applyAlignment="1">
      <alignment horizontal="center" vertical="center"/>
    </xf>
    <xf numFmtId="0" fontId="13" fillId="0" borderId="20" xfId="0" applyFont="1" applyFill="1" applyBorder="1" applyAlignment="1">
      <alignment horizontal="center" vertical="center"/>
    </xf>
    <xf numFmtId="0" fontId="13" fillId="0" borderId="21" xfId="0" applyFont="1" applyFill="1" applyBorder="1" applyAlignment="1">
      <alignment horizontal="center" vertical="center"/>
    </xf>
    <xf numFmtId="0" fontId="14" fillId="0" borderId="6" xfId="0" applyFont="1" applyFill="1" applyBorder="1" applyAlignment="1">
      <alignment horizontal="center" vertical="center"/>
    </xf>
    <xf numFmtId="0" fontId="15" fillId="0" borderId="14" xfId="0" applyFont="1" applyFill="1" applyBorder="1" applyAlignment="1">
      <alignment horizontal="center" vertical="center"/>
    </xf>
    <xf numFmtId="0" fontId="16" fillId="0" borderId="14" xfId="0" applyFont="1" applyFill="1" applyBorder="1" applyAlignment="1">
      <alignment horizontal="center" vertical="center"/>
    </xf>
    <xf numFmtId="0" fontId="17" fillId="0" borderId="14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 wrapText="1"/>
    </xf>
    <xf numFmtId="0" fontId="18" fillId="0" borderId="22" xfId="0" applyFont="1" applyFill="1" applyBorder="1" applyAlignment="1">
      <alignment horizontal="center" vertical="center"/>
    </xf>
    <xf numFmtId="0" fontId="19" fillId="0" borderId="0" xfId="0" applyFont="1" applyFill="1" applyBorder="1" applyAlignment="1">
      <alignment horizontal="center" vertical="center"/>
    </xf>
    <xf numFmtId="0" fontId="14" fillId="0" borderId="23" xfId="0" applyFont="1" applyFill="1" applyBorder="1" applyAlignment="1">
      <alignment horizontal="center" vertical="center"/>
    </xf>
    <xf numFmtId="0" fontId="5" fillId="0" borderId="24" xfId="0" applyFont="1" applyFill="1" applyBorder="1" applyAlignment="1">
      <alignment horizontal="center" vertical="center"/>
    </xf>
    <xf numFmtId="0" fontId="20" fillId="0" borderId="24" xfId="0" applyFont="1" applyFill="1" applyBorder="1" applyAlignment="1">
      <alignment horizontal="center" vertical="center"/>
    </xf>
    <xf numFmtId="0" fontId="17" fillId="0" borderId="13" xfId="0" applyFont="1" applyFill="1" applyBorder="1" applyAlignment="1">
      <alignment horizontal="center" vertical="center" wrapText="1"/>
    </xf>
    <xf numFmtId="0" fontId="14" fillId="0" borderId="24" xfId="0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/>
    </xf>
    <xf numFmtId="0" fontId="5" fillId="0" borderId="13" xfId="0" applyFont="1" applyFill="1" applyBorder="1" applyAlignment="1">
      <alignment horizontal="center" vertical="center"/>
    </xf>
    <xf numFmtId="0" fontId="14" fillId="0" borderId="13" xfId="0" applyFont="1" applyFill="1" applyBorder="1" applyAlignment="1">
      <alignment horizontal="center" vertical="center" wrapText="1"/>
    </xf>
    <xf numFmtId="0" fontId="21" fillId="0" borderId="0" xfId="0" applyFont="1" applyFill="1" applyBorder="1" applyAlignment="1">
      <alignment horizontal="center" vertical="center"/>
    </xf>
    <xf numFmtId="0" fontId="20" fillId="0" borderId="13" xfId="0" applyFont="1" applyFill="1" applyBorder="1" applyAlignment="1">
      <alignment horizontal="center" vertical="center"/>
    </xf>
    <xf numFmtId="0" fontId="18" fillId="0" borderId="11" xfId="0" applyFont="1" applyFill="1" applyBorder="1" applyAlignment="1">
      <alignment horizontal="center" vertical="center"/>
    </xf>
    <xf numFmtId="0" fontId="18" fillId="0" borderId="10" xfId="0" applyFont="1" applyFill="1" applyBorder="1" applyAlignment="1">
      <alignment horizontal="center" vertical="center"/>
    </xf>
    <xf numFmtId="0" fontId="5" fillId="0" borderId="25" xfId="0" applyFont="1" applyFill="1" applyBorder="1" applyAlignment="1">
      <alignment horizontal="center" vertical="center"/>
    </xf>
    <xf numFmtId="0" fontId="17" fillId="0" borderId="25" xfId="0" applyFont="1" applyFill="1" applyBorder="1" applyAlignment="1">
      <alignment horizontal="center" vertical="center" wrapText="1"/>
    </xf>
    <xf numFmtId="0" fontId="14" fillId="0" borderId="25" xfId="0" applyFont="1" applyFill="1" applyBorder="1" applyAlignment="1">
      <alignment horizontal="center" vertical="center" wrapText="1"/>
    </xf>
    <xf numFmtId="0" fontId="18" fillId="0" borderId="26" xfId="0" applyFont="1" applyFill="1" applyBorder="1" applyAlignment="1">
      <alignment horizontal="center" vertical="center"/>
    </xf>
    <xf numFmtId="0" fontId="14" fillId="0" borderId="27" xfId="0" applyFont="1" applyFill="1" applyBorder="1" applyAlignment="1">
      <alignment horizontal="center" vertical="center"/>
    </xf>
    <xf numFmtId="0" fontId="5" fillId="0" borderId="14" xfId="0" applyFont="1" applyFill="1" applyBorder="1" applyAlignment="1">
      <alignment horizontal="center" vertical="center"/>
    </xf>
    <xf numFmtId="0" fontId="18" fillId="0" borderId="15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7" fillId="0" borderId="24" xfId="0" applyFont="1" applyFill="1" applyBorder="1" applyAlignment="1">
      <alignment horizontal="center" vertical="center" wrapText="1"/>
    </xf>
    <xf numFmtId="0" fontId="14" fillId="0" borderId="28" xfId="0" applyFont="1" applyFill="1" applyBorder="1" applyAlignment="1">
      <alignment horizontal="center" vertical="center"/>
    </xf>
    <xf numFmtId="0" fontId="5" fillId="0" borderId="20" xfId="0" applyFont="1" applyFill="1" applyBorder="1" applyAlignment="1">
      <alignment horizontal="center" vertical="center"/>
    </xf>
    <xf numFmtId="0" fontId="5" fillId="0" borderId="29" xfId="0" applyFont="1" applyFill="1" applyBorder="1" applyAlignment="1">
      <alignment horizontal="center" vertical="center"/>
    </xf>
    <xf numFmtId="0" fontId="17" fillId="0" borderId="20" xfId="0" applyFont="1" applyFill="1" applyBorder="1" applyAlignment="1">
      <alignment horizontal="center" vertical="center" wrapText="1"/>
    </xf>
    <xf numFmtId="0" fontId="14" fillId="0" borderId="30" xfId="0" applyFont="1" applyFill="1" applyBorder="1" applyAlignment="1">
      <alignment horizontal="center" vertical="center" wrapText="1"/>
    </xf>
    <xf numFmtId="0" fontId="18" fillId="0" borderId="21" xfId="0" applyFont="1" applyFill="1" applyBorder="1" applyAlignment="1">
      <alignment horizontal="center" vertical="center"/>
    </xf>
    <xf numFmtId="0" fontId="13" fillId="0" borderId="31" xfId="0" applyFont="1" applyFill="1" applyBorder="1" applyAlignment="1">
      <alignment horizontal="center" vertical="center"/>
    </xf>
    <xf numFmtId="0" fontId="22" fillId="0" borderId="21" xfId="0" applyFont="1" applyFill="1" applyBorder="1" applyAlignment="1">
      <alignment horizontal="center" vertical="center" wrapText="1"/>
    </xf>
    <xf numFmtId="0" fontId="22" fillId="0" borderId="32" xfId="0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/>
    </xf>
    <xf numFmtId="0" fontId="9" fillId="0" borderId="0" xfId="0" applyFont="1" applyFill="1" applyBorder="1" applyAlignment="1">
      <alignment horizontal="center" wrapText="1"/>
    </xf>
    <xf numFmtId="0" fontId="5" fillId="0" borderId="0" xfId="0" applyFont="1" applyFill="1" applyBorder="1" applyAlignment="1"/>
    <xf numFmtId="0" fontId="14" fillId="0" borderId="0" xfId="0" applyFont="1" applyFill="1" applyBorder="1" applyAlignment="1"/>
    <xf numFmtId="0" fontId="24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vertical="center"/>
    </xf>
    <xf numFmtId="0" fontId="25" fillId="0" borderId="0" xfId="0" applyFont="1" applyFill="1" applyBorder="1" applyAlignment="1">
      <alignment vertical="center"/>
    </xf>
    <xf numFmtId="0" fontId="14" fillId="0" borderId="0" xfId="0" applyFont="1" applyFill="1" applyAlignment="1"/>
    <xf numFmtId="0" fontId="26" fillId="0" borderId="0" xfId="0" applyFont="1" applyFill="1" applyBorder="1" applyAlignment="1">
      <alignment horizontal="center" vertical="center"/>
    </xf>
    <xf numFmtId="0" fontId="13" fillId="0" borderId="0" xfId="0" applyFont="1" applyFill="1" applyBorder="1" applyAlignment="1">
      <alignment horizontal="left" vertical="center" wrapText="1"/>
    </xf>
    <xf numFmtId="0" fontId="13" fillId="0" borderId="1" xfId="0" applyFont="1" applyFill="1" applyBorder="1" applyAlignment="1">
      <alignment horizontal="center" vertical="center"/>
    </xf>
    <xf numFmtId="0" fontId="13" fillId="0" borderId="3" xfId="0" applyFont="1" applyFill="1" applyBorder="1" applyAlignment="1">
      <alignment horizontal="center" vertical="center"/>
    </xf>
    <xf numFmtId="0" fontId="13" fillId="0" borderId="33" xfId="0" applyFont="1" applyFill="1" applyBorder="1" applyAlignment="1">
      <alignment horizontal="center" vertical="center"/>
    </xf>
    <xf numFmtId="0" fontId="27" fillId="0" borderId="34" xfId="0" applyFont="1" applyFill="1" applyBorder="1" applyAlignment="1">
      <alignment horizontal="center" vertical="center" wrapText="1"/>
    </xf>
    <xf numFmtId="0" fontId="28" fillId="0" borderId="25" xfId="0" applyFont="1" applyFill="1" applyBorder="1" applyAlignment="1">
      <alignment horizontal="center" vertical="center"/>
    </xf>
    <xf numFmtId="0" fontId="28" fillId="0" borderId="24" xfId="0" applyFont="1" applyFill="1" applyBorder="1" applyAlignment="1">
      <alignment horizontal="center" vertical="center"/>
    </xf>
    <xf numFmtId="0" fontId="27" fillId="0" borderId="25" xfId="0" applyFont="1" applyFill="1" applyBorder="1" applyAlignment="1">
      <alignment horizontal="center" vertical="center"/>
    </xf>
    <xf numFmtId="0" fontId="27" fillId="0" borderId="10" xfId="0" applyFont="1" applyFill="1" applyBorder="1" applyAlignment="1">
      <alignment horizontal="center" vertical="center"/>
    </xf>
    <xf numFmtId="0" fontId="27" fillId="0" borderId="6" xfId="0" applyFont="1" applyFill="1" applyBorder="1" applyAlignment="1">
      <alignment horizontal="center" vertical="center"/>
    </xf>
    <xf numFmtId="0" fontId="27" fillId="0" borderId="14" xfId="0" applyFont="1" applyFill="1" applyBorder="1" applyAlignment="1">
      <alignment horizontal="center" vertical="center"/>
    </xf>
    <xf numFmtId="0" fontId="27" fillId="0" borderId="35" xfId="0" applyFont="1" applyFill="1" applyBorder="1" applyAlignment="1">
      <alignment horizontal="center" vertical="center"/>
    </xf>
    <xf numFmtId="0" fontId="27" fillId="0" borderId="36" xfId="0" applyFont="1" applyFill="1" applyBorder="1" applyAlignment="1">
      <alignment horizontal="center" vertical="center"/>
    </xf>
    <xf numFmtId="0" fontId="27" fillId="0" borderId="12" xfId="0" applyFont="1" applyFill="1" applyBorder="1" applyAlignment="1">
      <alignment horizontal="center" vertical="center" wrapText="1"/>
    </xf>
    <xf numFmtId="0" fontId="27" fillId="0" borderId="13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/>
    </xf>
    <xf numFmtId="0" fontId="27" fillId="0" borderId="12" xfId="0" applyFont="1" applyFill="1" applyBorder="1" applyAlignment="1">
      <alignment horizontal="center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0" fontId="29" fillId="0" borderId="18" xfId="0" applyFont="1" applyFill="1" applyBorder="1" applyAlignment="1">
      <alignment horizontal="center" vertical="center"/>
    </xf>
    <xf numFmtId="0" fontId="30" fillId="0" borderId="0" xfId="0" applyFont="1" applyFill="1" applyBorder="1" applyAlignment="1"/>
    <xf numFmtId="0" fontId="31" fillId="0" borderId="0" xfId="0" applyFont="1" applyFill="1" applyBorder="1" applyAlignment="1">
      <alignment vertical="center"/>
    </xf>
    <xf numFmtId="0" fontId="14" fillId="0" borderId="0" xfId="0" applyFont="1" applyFill="1" applyBorder="1" applyAlignment="1">
      <alignment wrapText="1"/>
    </xf>
    <xf numFmtId="0" fontId="13" fillId="0" borderId="33" xfId="0" applyFont="1" applyFill="1" applyBorder="1" applyAlignment="1">
      <alignment horizontal="center" vertical="center" wrapText="1"/>
    </xf>
    <xf numFmtId="0" fontId="27" fillId="0" borderId="23" xfId="0" applyFont="1" applyFill="1" applyBorder="1" applyAlignment="1">
      <alignment horizontal="center" vertical="center"/>
    </xf>
    <xf numFmtId="0" fontId="13" fillId="0" borderId="13" xfId="0" applyFont="1" applyFill="1" applyBorder="1" applyAlignment="1">
      <alignment horizontal="center" vertical="center"/>
    </xf>
    <xf numFmtId="0" fontId="32" fillId="0" borderId="13" xfId="0" applyFont="1" applyFill="1" applyBorder="1" applyAlignment="1">
      <alignment horizontal="center" vertical="center"/>
    </xf>
    <xf numFmtId="0" fontId="27" fillId="0" borderId="11" xfId="0" applyFont="1" applyFill="1" applyBorder="1" applyAlignment="1">
      <alignment horizontal="center" vertical="center" wrapText="1"/>
    </xf>
    <xf numFmtId="0" fontId="13" fillId="0" borderId="18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wrapText="1"/>
    </xf>
    <xf numFmtId="0" fontId="0" fillId="0" borderId="0" xfId="0" applyFill="1">
      <alignment vertical="center"/>
    </xf>
    <xf numFmtId="0" fontId="33" fillId="0" borderId="0" xfId="0" applyFont="1" applyFill="1">
      <alignment vertical="center"/>
    </xf>
    <xf numFmtId="0" fontId="12" fillId="0" borderId="0" xfId="0" applyFont="1" applyFill="1" applyAlignment="1">
      <alignment horizontal="center" vertical="center"/>
    </xf>
    <xf numFmtId="0" fontId="12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vertical="center"/>
    </xf>
    <xf numFmtId="0" fontId="13" fillId="0" borderId="0" xfId="0" applyFont="1" applyFill="1" applyAlignment="1">
      <alignment vertical="center"/>
    </xf>
    <xf numFmtId="0" fontId="13" fillId="0" borderId="0" xfId="0" applyFont="1" applyFill="1" applyBorder="1" applyAlignment="1">
      <alignment vertical="center" wrapText="1"/>
    </xf>
    <xf numFmtId="0" fontId="13" fillId="0" borderId="1" xfId="0" applyFont="1" applyFill="1" applyBorder="1" applyAlignment="1">
      <alignment horizontal="center" vertical="center" wrapText="1"/>
    </xf>
    <xf numFmtId="0" fontId="13" fillId="0" borderId="3" xfId="0" applyFont="1" applyFill="1" applyBorder="1" applyAlignment="1">
      <alignment horizontal="center" vertical="center" wrapText="1"/>
    </xf>
    <xf numFmtId="10" fontId="13" fillId="0" borderId="33" xfId="0" applyNumberFormat="1" applyFont="1" applyFill="1" applyBorder="1" applyAlignment="1">
      <alignment horizontal="center" vertical="center" wrapText="1"/>
    </xf>
    <xf numFmtId="0" fontId="14" fillId="0" borderId="12" xfId="0" applyFont="1" applyFill="1" applyBorder="1" applyAlignment="1">
      <alignment horizontal="center" vertical="center" wrapText="1"/>
    </xf>
    <xf numFmtId="0" fontId="14" fillId="0" borderId="13" xfId="0" applyFont="1" applyFill="1" applyBorder="1" applyAlignment="1">
      <alignment horizontal="center" vertical="center"/>
    </xf>
    <xf numFmtId="0" fontId="17" fillId="0" borderId="7" xfId="0" applyFont="1" applyFill="1" applyBorder="1" applyAlignment="1">
      <alignment horizontal="center" vertical="center"/>
    </xf>
    <xf numFmtId="10" fontId="14" fillId="0" borderId="11" xfId="0" applyNumberFormat="1" applyFont="1" applyFill="1" applyBorder="1" applyAlignment="1">
      <alignment horizontal="center" vertical="center" wrapText="1"/>
    </xf>
    <xf numFmtId="0" fontId="34" fillId="0" borderId="0" xfId="0" applyFont="1" applyFill="1" applyBorder="1" applyAlignment="1">
      <alignment vertical="center"/>
    </xf>
    <xf numFmtId="0" fontId="13" fillId="0" borderId="16" xfId="0" applyFont="1" applyFill="1" applyBorder="1" applyAlignment="1">
      <alignment horizontal="center" vertical="center" wrapText="1"/>
    </xf>
    <xf numFmtId="0" fontId="13" fillId="0" borderId="17" xfId="0" applyFont="1" applyFill="1" applyBorder="1" applyAlignment="1">
      <alignment horizontal="center" vertical="center" wrapText="1"/>
    </xf>
    <xf numFmtId="10" fontId="13" fillId="0" borderId="18" xfId="0" applyNumberFormat="1" applyFont="1" applyFill="1" applyBorder="1" applyAlignment="1">
      <alignment horizontal="center" vertical="center" wrapText="1"/>
    </xf>
    <xf numFmtId="0" fontId="35" fillId="0" borderId="0" xfId="0" applyFont="1" applyFill="1" applyBorder="1" applyAlignment="1">
      <alignment vertical="center"/>
    </xf>
    <xf numFmtId="0" fontId="13" fillId="0" borderId="0" xfId="0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center" vertical="center"/>
    </xf>
    <xf numFmtId="10" fontId="27" fillId="0" borderId="0" xfId="0" applyNumberFormat="1" applyFont="1" applyFill="1" applyBorder="1" applyAlignment="1">
      <alignment horizontal="center" vertical="center" wrapText="1"/>
    </xf>
    <xf numFmtId="0" fontId="36" fillId="0" borderId="12" xfId="0" applyFont="1" applyFill="1" applyBorder="1" applyAlignment="1">
      <alignment horizontal="center" vertical="center" wrapText="1"/>
    </xf>
    <xf numFmtId="0" fontId="17" fillId="0" borderId="13" xfId="0" applyFont="1" applyFill="1" applyBorder="1" applyAlignment="1">
      <alignment horizontal="center" vertical="center"/>
    </xf>
    <xf numFmtId="0" fontId="36" fillId="0" borderId="12" xfId="0" applyFont="1" applyFill="1" applyBorder="1" applyAlignment="1">
      <alignment horizontal="center" vertical="center"/>
    </xf>
    <xf numFmtId="0" fontId="37" fillId="0" borderId="0" xfId="0" applyFont="1" applyFill="1" applyBorder="1" applyAlignment="1">
      <alignment vertical="center"/>
    </xf>
    <xf numFmtId="0" fontId="38" fillId="0" borderId="0" xfId="0" applyFont="1" applyFill="1" applyBorder="1" applyAlignment="1">
      <alignment vertical="center"/>
    </xf>
    <xf numFmtId="0" fontId="20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vertical="center"/>
    </xf>
    <xf numFmtId="0" fontId="27" fillId="0" borderId="0" xfId="0" applyFont="1" applyFill="1" applyAlignment="1">
      <alignment vertical="center"/>
    </xf>
    <xf numFmtId="0" fontId="27" fillId="0" borderId="0" xfId="0" applyFont="1" applyFill="1" applyAlignment="1">
      <alignment vertical="center" wrapText="1"/>
    </xf>
    <xf numFmtId="10" fontId="27" fillId="0" borderId="0" xfId="0" applyNumberFormat="1" applyFont="1" applyFill="1" applyAlignment="1">
      <alignment horizontal="right" vertical="center" wrapText="1"/>
    </xf>
    <xf numFmtId="10" fontId="27" fillId="0" borderId="0" xfId="0" applyNumberFormat="1" applyFont="1" applyFill="1" applyBorder="1" applyAlignment="1">
      <alignment vertical="center" wrapText="1"/>
    </xf>
    <xf numFmtId="0" fontId="39" fillId="0" borderId="0" xfId="0" applyFont="1" applyFill="1" applyAlignment="1">
      <alignment horizontal="center" vertical="center"/>
    </xf>
    <xf numFmtId="0" fontId="5" fillId="0" borderId="0" xfId="0" applyFont="1" applyFill="1" applyBorder="1" applyAlignment="1">
      <alignment vertical="center" wrapText="1"/>
    </xf>
    <xf numFmtId="0" fontId="40" fillId="0" borderId="0" xfId="0" applyFont="1" applyFill="1">
      <alignment vertical="center"/>
    </xf>
    <xf numFmtId="0" fontId="13" fillId="0" borderId="0" xfId="0" applyFont="1" applyFill="1" applyAlignment="1">
      <alignment vertical="center" wrapText="1"/>
    </xf>
    <xf numFmtId="0" fontId="13" fillId="0" borderId="19" xfId="0" applyFont="1" applyFill="1" applyBorder="1" applyAlignment="1">
      <alignment horizontal="center" vertical="center" wrapText="1"/>
    </xf>
    <xf numFmtId="0" fontId="13" fillId="0" borderId="20" xfId="0" applyFont="1" applyFill="1" applyBorder="1" applyAlignment="1">
      <alignment horizontal="center" vertical="center" wrapText="1"/>
    </xf>
    <xf numFmtId="0" fontId="13" fillId="0" borderId="30" xfId="0" applyFont="1" applyFill="1" applyBorder="1" applyAlignment="1">
      <alignment horizontal="center" vertical="center" wrapText="1"/>
    </xf>
    <xf numFmtId="10" fontId="13" fillId="0" borderId="21" xfId="0" applyNumberFormat="1" applyFont="1" applyFill="1" applyBorder="1" applyAlignment="1">
      <alignment horizontal="center" vertical="center" wrapText="1"/>
    </xf>
    <xf numFmtId="0" fontId="14" fillId="0" borderId="6" xfId="0" applyFont="1" applyFill="1" applyBorder="1" applyAlignment="1">
      <alignment horizontal="center" vertical="center" wrapText="1"/>
    </xf>
    <xf numFmtId="0" fontId="14" fillId="0" borderId="14" xfId="0" applyFont="1" applyFill="1" applyBorder="1" applyAlignment="1">
      <alignment horizontal="center" vertical="center"/>
    </xf>
    <xf numFmtId="0" fontId="14" fillId="0" borderId="37" xfId="0" applyFont="1" applyFill="1" applyBorder="1" applyAlignment="1">
      <alignment horizontal="center" vertical="center"/>
    </xf>
    <xf numFmtId="0" fontId="41" fillId="0" borderId="14" xfId="0" applyFont="1" applyFill="1" applyBorder="1" applyAlignment="1">
      <alignment horizontal="center" vertical="center"/>
    </xf>
    <xf numFmtId="10" fontId="5" fillId="0" borderId="15" xfId="0" applyNumberFormat="1" applyFont="1" applyFill="1" applyBorder="1" applyAlignment="1">
      <alignment horizontal="left" vertical="center" wrapText="1"/>
    </xf>
    <xf numFmtId="0" fontId="14" fillId="0" borderId="23" xfId="0" applyFont="1" applyFill="1" applyBorder="1" applyAlignment="1">
      <alignment horizontal="center" vertical="center" wrapText="1"/>
    </xf>
    <xf numFmtId="0" fontId="14" fillId="0" borderId="24" xfId="0" applyFont="1" applyFill="1" applyBorder="1" applyAlignment="1">
      <alignment horizontal="center" vertical="center"/>
    </xf>
    <xf numFmtId="0" fontId="14" fillId="0" borderId="38" xfId="0" applyFont="1" applyFill="1" applyBorder="1" applyAlignment="1">
      <alignment horizontal="center" vertical="center"/>
    </xf>
    <xf numFmtId="0" fontId="41" fillId="0" borderId="39" xfId="0" applyFont="1" applyFill="1" applyBorder="1" applyAlignment="1">
      <alignment horizontal="center" vertical="center"/>
    </xf>
    <xf numFmtId="10" fontId="42" fillId="0" borderId="10" xfId="0" applyNumberFormat="1" applyFont="1" applyFill="1" applyBorder="1" applyAlignment="1">
      <alignment horizontal="left" vertical="center" wrapText="1"/>
    </xf>
    <xf numFmtId="0" fontId="14" fillId="0" borderId="1" xfId="0" applyFont="1" applyFill="1" applyBorder="1" applyAlignment="1">
      <alignment horizontal="center" vertical="center"/>
    </xf>
    <xf numFmtId="0" fontId="14" fillId="0" borderId="3" xfId="0" applyFont="1" applyFill="1" applyBorder="1" applyAlignment="1">
      <alignment horizontal="center" vertical="center"/>
    </xf>
    <xf numFmtId="0" fontId="14" fillId="0" borderId="2" xfId="0" applyFont="1" applyFill="1" applyBorder="1" applyAlignment="1">
      <alignment horizontal="center" vertical="center"/>
    </xf>
    <xf numFmtId="0" fontId="41" fillId="0" borderId="3" xfId="0" applyFont="1" applyFill="1" applyBorder="1" applyAlignment="1">
      <alignment horizontal="center" vertical="center"/>
    </xf>
    <xf numFmtId="10" fontId="14" fillId="0" borderId="33" xfId="0" applyNumberFormat="1" applyFont="1" applyFill="1" applyBorder="1" applyAlignment="1">
      <alignment vertical="center" wrapText="1"/>
    </xf>
    <xf numFmtId="0" fontId="14" fillId="0" borderId="16" xfId="0" applyFont="1" applyFill="1" applyBorder="1" applyAlignment="1">
      <alignment horizontal="center" vertical="center" wrapText="1"/>
    </xf>
    <xf numFmtId="0" fontId="14" fillId="0" borderId="17" xfId="0" applyFont="1" applyFill="1" applyBorder="1" applyAlignment="1">
      <alignment horizontal="center" vertical="center" wrapText="1"/>
    </xf>
    <xf numFmtId="0" fontId="14" fillId="0" borderId="40" xfId="0" applyFont="1" applyFill="1" applyBorder="1" applyAlignment="1">
      <alignment horizontal="center" vertical="center" wrapText="1"/>
    </xf>
    <xf numFmtId="0" fontId="41" fillId="0" borderId="17" xfId="0" applyFont="1" applyFill="1" applyBorder="1" applyAlignment="1">
      <alignment horizontal="center" vertical="center"/>
    </xf>
    <xf numFmtId="10" fontId="14" fillId="0" borderId="18" xfId="0" applyNumberFormat="1" applyFont="1" applyFill="1" applyBorder="1" applyAlignment="1">
      <alignment vertical="center" wrapText="1"/>
    </xf>
    <xf numFmtId="10" fontId="14" fillId="0" borderId="15" xfId="0" applyNumberFormat="1" applyFont="1" applyFill="1" applyBorder="1" applyAlignment="1">
      <alignment horizontal="left" vertical="center" wrapText="1"/>
    </xf>
    <xf numFmtId="0" fontId="41" fillId="0" borderId="24" xfId="0" applyFont="1" applyFill="1" applyBorder="1" applyAlignment="1">
      <alignment horizontal="center" vertical="center"/>
    </xf>
    <xf numFmtId="10" fontId="14" fillId="0" borderId="10" xfId="0" applyNumberFormat="1" applyFont="1" applyFill="1" applyBorder="1" applyAlignment="1">
      <alignment horizontal="left" vertical="center" wrapText="1"/>
    </xf>
    <xf numFmtId="0" fontId="43" fillId="0" borderId="20" xfId="0" applyFont="1" applyFill="1" applyBorder="1" applyAlignment="1">
      <alignment horizontal="center" vertical="center"/>
    </xf>
    <xf numFmtId="10" fontId="44" fillId="0" borderId="21" xfId="0" applyNumberFormat="1" applyFont="1" applyFill="1" applyBorder="1" applyAlignment="1">
      <alignment horizontal="center" vertical="center" wrapText="1"/>
    </xf>
    <xf numFmtId="0" fontId="13" fillId="0" borderId="0" xfId="0" applyFont="1" applyFill="1" applyBorder="1" applyAlignment="1">
      <alignment horizontal="right" vertical="center"/>
    </xf>
    <xf numFmtId="176" fontId="13" fillId="0" borderId="0" xfId="0" applyNumberFormat="1" applyFont="1" applyFill="1" applyBorder="1" applyAlignment="1">
      <alignment horizontal="right" vertical="center"/>
    </xf>
    <xf numFmtId="0" fontId="45" fillId="0" borderId="0" xfId="0" applyFont="1" applyFill="1" applyBorder="1" applyAlignment="1">
      <alignment vertical="center"/>
    </xf>
    <xf numFmtId="0" fontId="39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left" vertical="center" wrapText="1"/>
    </xf>
    <xf numFmtId="0" fontId="13" fillId="0" borderId="41" xfId="0" applyFont="1" applyFill="1" applyBorder="1" applyAlignment="1">
      <alignment horizontal="center" vertical="center" wrapText="1"/>
    </xf>
    <xf numFmtId="0" fontId="14" fillId="0" borderId="1" xfId="0" applyFont="1" applyFill="1" applyBorder="1" applyAlignment="1">
      <alignment horizontal="center" vertical="center" wrapText="1"/>
    </xf>
    <xf numFmtId="10" fontId="42" fillId="0" borderId="33" xfId="0" applyNumberFormat="1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center" vertical="center"/>
    </xf>
    <xf numFmtId="10" fontId="5" fillId="0" borderId="18" xfId="0" applyNumberFormat="1" applyFont="1" applyFill="1" applyBorder="1" applyAlignment="1">
      <alignment horizontal="left" vertical="center" wrapText="1"/>
    </xf>
    <xf numFmtId="0" fontId="14" fillId="0" borderId="42" xfId="0" applyFont="1" applyFill="1" applyBorder="1" applyAlignment="1">
      <alignment horizontal="center" vertical="center"/>
    </xf>
    <xf numFmtId="10" fontId="14" fillId="0" borderId="15" xfId="0" applyNumberFormat="1" applyFont="1" applyFill="1" applyBorder="1" applyAlignment="1">
      <alignment vertical="center" wrapText="1"/>
    </xf>
    <xf numFmtId="0" fontId="14" fillId="0" borderId="43" xfId="0" applyFont="1" applyFill="1" applyBorder="1" applyAlignment="1">
      <alignment horizontal="center" vertical="center" wrapText="1"/>
    </xf>
    <xf numFmtId="0" fontId="14" fillId="0" borderId="3" xfId="0" applyFont="1" applyFill="1" applyBorder="1" applyAlignment="1">
      <alignment horizontal="center" vertical="center" wrapText="1"/>
    </xf>
    <xf numFmtId="10" fontId="14" fillId="0" borderId="33" xfId="0" applyNumberFormat="1" applyFont="1" applyFill="1" applyBorder="1" applyAlignment="1">
      <alignment horizontal="left" vertical="center" wrapText="1"/>
    </xf>
    <xf numFmtId="10" fontId="14" fillId="0" borderId="18" xfId="0" applyNumberFormat="1" applyFont="1" applyFill="1" applyBorder="1" applyAlignment="1">
      <alignment horizontal="left" vertical="center" wrapText="1"/>
    </xf>
    <xf numFmtId="0" fontId="14" fillId="0" borderId="41" xfId="0" applyFont="1" applyFill="1" applyBorder="1" applyAlignment="1">
      <alignment horizontal="center" vertical="center"/>
    </xf>
    <xf numFmtId="0" fontId="14" fillId="0" borderId="30" xfId="0" applyFont="1" applyFill="1" applyBorder="1" applyAlignment="1">
      <alignment horizontal="center" vertical="center"/>
    </xf>
    <xf numFmtId="0" fontId="41" fillId="0" borderId="20" xfId="0" applyFont="1" applyFill="1" applyBorder="1" applyAlignment="1">
      <alignment horizontal="center" vertical="center"/>
    </xf>
    <xf numFmtId="10" fontId="14" fillId="0" borderId="21" xfId="0" applyNumberFormat="1" applyFont="1" applyFill="1" applyBorder="1" applyAlignment="1">
      <alignment vertical="center" wrapText="1"/>
    </xf>
    <xf numFmtId="0" fontId="13" fillId="0" borderId="28" xfId="0" applyFont="1" applyFill="1" applyBorder="1" applyAlignment="1">
      <alignment horizontal="center" vertical="center" wrapText="1"/>
    </xf>
    <xf numFmtId="0" fontId="13" fillId="0" borderId="44" xfId="0" applyFont="1" applyFill="1" applyBorder="1" applyAlignment="1">
      <alignment horizontal="center" vertical="center" wrapText="1"/>
    </xf>
    <xf numFmtId="0" fontId="43" fillId="0" borderId="44" xfId="0" applyFont="1" applyFill="1" applyBorder="1" applyAlignment="1">
      <alignment horizontal="center" vertical="center"/>
    </xf>
    <xf numFmtId="10" fontId="44" fillId="0" borderId="45" xfId="0" applyNumberFormat="1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right" vertical="center"/>
    </xf>
    <xf numFmtId="176" fontId="5" fillId="0" borderId="0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FF0000"/>
      <color rgb="00FFFF00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71120</xdr:colOff>
      <xdr:row>8</xdr:row>
      <xdr:rowOff>220345</xdr:rowOff>
    </xdr:to>
    <xdr:sp>
      <xdr:nvSpPr>
        <xdr:cNvPr id="2" name="Text Box 1"/>
        <xdr:cNvSpPr txBox="1"/>
      </xdr:nvSpPr>
      <xdr:spPr>
        <a:xfrm>
          <a:off x="0" y="3276600"/>
          <a:ext cx="71120" cy="220345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8</xdr:row>
      <xdr:rowOff>0</xdr:rowOff>
    </xdr:from>
    <xdr:to>
      <xdr:col>0</xdr:col>
      <xdr:colOff>71120</xdr:colOff>
      <xdr:row>8</xdr:row>
      <xdr:rowOff>220980</xdr:rowOff>
    </xdr:to>
    <xdr:sp>
      <xdr:nvSpPr>
        <xdr:cNvPr id="2" name="Text Box 1"/>
        <xdr:cNvSpPr txBox="1"/>
      </xdr:nvSpPr>
      <xdr:spPr>
        <a:xfrm>
          <a:off x="0" y="3101975"/>
          <a:ext cx="71120" cy="220980"/>
        </a:xfrm>
        <a:prstGeom prst="rect">
          <a:avLst/>
        </a:prstGeom>
        <a:noFill/>
        <a:ln w="9525">
          <a:noFill/>
        </a:ln>
      </xdr:spPr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1.xml"/><Relationship Id="rId1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2.xml"/><Relationship Id="rId1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comments" Target="../comments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FF0000"/>
    <pageSetUpPr fitToPage="1"/>
  </sheetPr>
  <dimension ref="A1:FN18"/>
  <sheetViews>
    <sheetView tabSelected="1" zoomScale="115" zoomScaleNormal="115" workbookViewId="0">
      <selection activeCell="K10" sqref="K10"/>
    </sheetView>
  </sheetViews>
  <sheetFormatPr defaultColWidth="9.69166666666667" defaultRowHeight="18" customHeight="1"/>
  <cols>
    <col min="1" max="1" width="14.7916666666667" style="154" customWidth="1"/>
    <col min="2" max="2" width="21.3166666666667" style="154" customWidth="1"/>
    <col min="3" max="3" width="25.025" style="154" customWidth="1"/>
    <col min="4" max="4" width="26" style="154" customWidth="1"/>
    <col min="5" max="6" width="9.69166666666667" style="154" customWidth="1"/>
    <col min="7" max="7" width="9.69166666666667" style="154" hidden="1" customWidth="1"/>
    <col min="8" max="170" width="9.69166666666667" style="154" customWidth="1"/>
    <col min="171" max="16383" width="9.69166666666667" style="90"/>
    <col min="16384" max="16384" width="9.69166666666667" style="126"/>
  </cols>
  <sheetData>
    <row r="1" s="194" customFormat="1" ht="30" customHeight="1" spans="1:170">
      <c r="A1" s="195" t="s">
        <v>0</v>
      </c>
      <c r="B1" s="95"/>
      <c r="C1" s="95"/>
      <c r="D1" s="95"/>
    </row>
    <row r="2" ht="30" customHeight="1" spans="1:170">
      <c r="A2" s="196" t="s">
        <v>1</v>
      </c>
      <c r="B2" s="196"/>
      <c r="C2" s="196"/>
      <c r="D2" s="196"/>
    </row>
    <row r="3" ht="30" customHeight="1" spans="1:170">
      <c r="A3" s="96" t="s">
        <v>2</v>
      </c>
      <c r="B3" s="96"/>
      <c r="C3" s="96"/>
      <c r="D3" s="96"/>
    </row>
    <row r="4" ht="35" customHeight="1" spans="1:170">
      <c r="A4" s="197" t="s">
        <v>3</v>
      </c>
      <c r="B4" s="165"/>
      <c r="C4" s="164" t="s">
        <v>4</v>
      </c>
      <c r="D4" s="166" t="s">
        <v>5</v>
      </c>
    </row>
    <row r="5" ht="35" customHeight="1" spans="1:170">
      <c r="A5" s="198" t="s">
        <v>6</v>
      </c>
      <c r="B5" s="178" t="s">
        <v>7</v>
      </c>
      <c r="C5" s="180">
        <f>'人民日报印厂`'!C8</f>
        <v>1212</v>
      </c>
      <c r="D5" s="199"/>
    </row>
    <row r="6" ht="35" customHeight="1" spans="1:170">
      <c r="A6" s="76"/>
      <c r="B6" s="200" t="s">
        <v>8</v>
      </c>
      <c r="C6" s="185">
        <f>'人民日报印厂`'!C9</f>
        <v>5575</v>
      </c>
      <c r="D6" s="201"/>
    </row>
    <row r="7" ht="35" customHeight="1" spans="1:170">
      <c r="A7" s="202" t="s">
        <v>9</v>
      </c>
      <c r="B7" s="169"/>
      <c r="C7" s="170">
        <f>'收发室自留分发（需打印）'!B19</f>
        <v>230</v>
      </c>
      <c r="D7" s="203" t="s">
        <v>10</v>
      </c>
      <c r="G7" s="154">
        <v>1441</v>
      </c>
    </row>
    <row r="8" ht="35" customHeight="1" spans="1:170">
      <c r="A8" s="204" t="s">
        <v>11</v>
      </c>
      <c r="B8" s="184"/>
      <c r="C8" s="185">
        <f>G9</f>
        <v>1211</v>
      </c>
      <c r="D8" s="186" t="s">
        <v>10</v>
      </c>
      <c r="G8" s="154">
        <f>C7</f>
        <v>230</v>
      </c>
    </row>
    <row r="9" ht="35" customHeight="1" spans="1:170">
      <c r="A9" s="198" t="s">
        <v>12</v>
      </c>
      <c r="B9" s="205" t="s">
        <v>13</v>
      </c>
      <c r="C9" s="180">
        <f>'零售渠道`'!B4</f>
        <v>460</v>
      </c>
      <c r="D9" s="206" t="s">
        <v>14</v>
      </c>
      <c r="G9" s="154">
        <f>G7-G8</f>
        <v>1211</v>
      </c>
    </row>
    <row r="10" ht="35" customHeight="1" spans="1:170">
      <c r="A10" s="182"/>
      <c r="B10" s="183" t="s">
        <v>15</v>
      </c>
      <c r="C10" s="185">
        <f>'零售渠道`'!B5</f>
        <v>592</v>
      </c>
      <c r="D10" s="207" t="s">
        <v>14</v>
      </c>
    </row>
    <row r="11" ht="35" customHeight="1" spans="1:170">
      <c r="A11" s="208" t="s">
        <v>16</v>
      </c>
      <c r="B11" s="209"/>
      <c r="C11" s="210">
        <v>15</v>
      </c>
      <c r="D11" s="211" t="s">
        <v>17</v>
      </c>
    </row>
    <row r="12" ht="35" customHeight="1" spans="1:170">
      <c r="A12" s="212" t="s">
        <v>18</v>
      </c>
      <c r="B12" s="213"/>
      <c r="C12" s="214">
        <f>SUM(C5:C11)</f>
        <v>9295</v>
      </c>
      <c r="D12" s="215"/>
    </row>
    <row r="13" s="90" customFormat="1" ht="26" customHeight="1" spans="1:170">
      <c r="A13" s="154"/>
      <c r="B13" s="154"/>
      <c r="C13" s="154"/>
      <c r="D13" s="154"/>
      <c r="E13" s="154"/>
      <c r="F13" s="154"/>
      <c r="G13" s="154"/>
      <c r="H13" s="154"/>
      <c r="I13" s="154"/>
      <c r="J13" s="154"/>
      <c r="K13" s="154"/>
      <c r="L13" s="154"/>
      <c r="M13" s="154"/>
      <c r="N13" s="154"/>
      <c r="O13" s="154"/>
      <c r="P13" s="154"/>
      <c r="Q13" s="154"/>
      <c r="R13" s="154"/>
      <c r="S13" s="154"/>
      <c r="T13" s="154"/>
      <c r="U13" s="154"/>
      <c r="V13" s="154"/>
      <c r="W13" s="154"/>
      <c r="X13" s="154"/>
      <c r="Y13" s="154"/>
      <c r="Z13" s="154"/>
      <c r="AA13" s="154"/>
      <c r="AB13" s="154"/>
      <c r="AC13" s="154"/>
      <c r="AD13" s="154"/>
      <c r="AE13" s="154"/>
      <c r="AF13" s="154"/>
      <c r="AG13" s="154"/>
      <c r="AH13" s="154"/>
      <c r="AI13" s="154"/>
      <c r="AJ13" s="154"/>
      <c r="AK13" s="154"/>
      <c r="AL13" s="154"/>
      <c r="AM13" s="154"/>
      <c r="AN13" s="154"/>
      <c r="AO13" s="154"/>
      <c r="AP13" s="154"/>
      <c r="AQ13" s="154"/>
      <c r="AR13" s="154"/>
      <c r="AS13" s="154"/>
      <c r="AT13" s="154"/>
      <c r="AU13" s="154"/>
      <c r="AV13" s="154"/>
      <c r="AW13" s="154"/>
      <c r="AX13" s="154"/>
      <c r="AY13" s="154"/>
      <c r="AZ13" s="154"/>
      <c r="BA13" s="154"/>
      <c r="BB13" s="154"/>
      <c r="BC13" s="154"/>
      <c r="BD13" s="154"/>
      <c r="BE13" s="154"/>
      <c r="BF13" s="154"/>
      <c r="BG13" s="154"/>
      <c r="BH13" s="154"/>
      <c r="BI13" s="154"/>
      <c r="BJ13" s="154"/>
      <c r="BK13" s="154"/>
      <c r="BL13" s="154"/>
      <c r="BM13" s="154"/>
      <c r="BN13" s="154"/>
      <c r="BO13" s="154"/>
      <c r="BP13" s="154"/>
      <c r="BQ13" s="154"/>
      <c r="BR13" s="154"/>
      <c r="BS13" s="154"/>
      <c r="BT13" s="154"/>
      <c r="BU13" s="154"/>
      <c r="BV13" s="154"/>
      <c r="BW13" s="154"/>
      <c r="BX13" s="154"/>
      <c r="BY13" s="154"/>
      <c r="BZ13" s="154"/>
      <c r="CA13" s="154"/>
      <c r="CB13" s="154"/>
      <c r="CC13" s="154"/>
      <c r="CD13" s="154"/>
      <c r="CE13" s="154"/>
      <c r="CF13" s="154"/>
      <c r="CG13" s="154"/>
      <c r="CH13" s="154"/>
      <c r="CI13" s="154"/>
      <c r="CJ13" s="154"/>
      <c r="CK13" s="154"/>
      <c r="CL13" s="154"/>
      <c r="CM13" s="154"/>
      <c r="CN13" s="154"/>
      <c r="CO13" s="154"/>
      <c r="CP13" s="154"/>
      <c r="CQ13" s="154"/>
      <c r="CR13" s="154"/>
      <c r="CS13" s="154"/>
      <c r="CT13" s="154"/>
      <c r="CU13" s="154"/>
      <c r="CV13" s="154"/>
      <c r="CW13" s="154"/>
      <c r="CX13" s="154"/>
      <c r="CY13" s="154"/>
      <c r="CZ13" s="154"/>
      <c r="DA13" s="154"/>
      <c r="DB13" s="154"/>
      <c r="DC13" s="154"/>
      <c r="DD13" s="154"/>
      <c r="DE13" s="154"/>
      <c r="DF13" s="154"/>
      <c r="DG13" s="154"/>
      <c r="DH13" s="154"/>
      <c r="DI13" s="154"/>
      <c r="DJ13" s="154"/>
      <c r="DK13" s="154"/>
      <c r="DL13" s="154"/>
      <c r="DM13" s="154"/>
      <c r="DN13" s="154"/>
      <c r="DO13" s="154"/>
      <c r="DP13" s="154"/>
      <c r="DQ13" s="154"/>
      <c r="DR13" s="154"/>
      <c r="DS13" s="154"/>
      <c r="DT13" s="154"/>
      <c r="DU13" s="154"/>
      <c r="DV13" s="154"/>
      <c r="DW13" s="154"/>
      <c r="DX13" s="154"/>
      <c r="DY13" s="154"/>
      <c r="DZ13" s="154"/>
      <c r="EA13" s="154"/>
      <c r="EB13" s="154"/>
      <c r="EC13" s="154"/>
      <c r="ED13" s="154"/>
      <c r="EE13" s="154"/>
      <c r="EF13" s="154"/>
      <c r="EG13" s="154"/>
      <c r="EH13" s="154"/>
      <c r="EI13" s="154"/>
      <c r="EJ13" s="154"/>
      <c r="EK13" s="154"/>
      <c r="EL13" s="154"/>
      <c r="EM13" s="154"/>
      <c r="EN13" s="154"/>
      <c r="EO13" s="154"/>
      <c r="EP13" s="154"/>
      <c r="EQ13" s="154"/>
      <c r="ER13" s="154"/>
      <c r="ES13" s="154"/>
      <c r="ET13" s="154"/>
      <c r="EU13" s="154"/>
      <c r="EV13" s="154"/>
      <c r="EW13" s="154"/>
      <c r="EX13" s="154"/>
      <c r="EY13" s="154"/>
      <c r="EZ13" s="154"/>
      <c r="FA13" s="154"/>
      <c r="FB13" s="154"/>
      <c r="FC13" s="154"/>
      <c r="FD13" s="154"/>
      <c r="FE13" s="154"/>
      <c r="FF13" s="154"/>
      <c r="FG13" s="154"/>
      <c r="FH13" s="154"/>
      <c r="FI13" s="154"/>
      <c r="FJ13" s="154"/>
      <c r="FK13" s="154"/>
      <c r="FL13" s="154"/>
      <c r="FM13" s="154"/>
      <c r="FN13" s="154"/>
    </row>
    <row r="14" ht="30" customHeight="1" spans="1:170">
      <c r="D14" s="216" t="s">
        <v>19</v>
      </c>
    </row>
    <row r="15" ht="30" customHeight="1" spans="1:170">
      <c r="D15" s="217" t="s">
        <v>20</v>
      </c>
    </row>
    <row r="16" s="90" customFormat="1" customHeight="1" spans="1:170">
      <c r="A16" s="154"/>
      <c r="B16" s="154"/>
      <c r="C16" s="154"/>
      <c r="D16" s="154"/>
      <c r="E16" s="154"/>
      <c r="F16" s="154"/>
      <c r="G16" s="154"/>
      <c r="H16" s="154"/>
      <c r="I16" s="154"/>
      <c r="J16" s="154"/>
      <c r="K16" s="154"/>
      <c r="L16" s="154"/>
      <c r="M16" s="154"/>
      <c r="N16" s="154"/>
      <c r="O16" s="154"/>
      <c r="P16" s="154"/>
      <c r="Q16" s="154"/>
      <c r="R16" s="154"/>
      <c r="S16" s="154"/>
      <c r="T16" s="154"/>
      <c r="U16" s="154"/>
      <c r="V16" s="154"/>
      <c r="W16" s="154"/>
      <c r="X16" s="154"/>
      <c r="Y16" s="154"/>
      <c r="Z16" s="154"/>
      <c r="AA16" s="154"/>
      <c r="AB16" s="154"/>
      <c r="AC16" s="154"/>
      <c r="AD16" s="154"/>
      <c r="AE16" s="154"/>
      <c r="AF16" s="154"/>
      <c r="AG16" s="154"/>
      <c r="AH16" s="154"/>
      <c r="AI16" s="154"/>
      <c r="AJ16" s="154"/>
      <c r="AK16" s="154"/>
      <c r="AL16" s="154"/>
      <c r="AM16" s="154"/>
      <c r="AN16" s="154"/>
      <c r="AO16" s="154"/>
      <c r="AP16" s="154"/>
      <c r="AQ16" s="154"/>
      <c r="AR16" s="154"/>
      <c r="AS16" s="154"/>
      <c r="AT16" s="154"/>
      <c r="AU16" s="154"/>
      <c r="AV16" s="154"/>
      <c r="AW16" s="154"/>
      <c r="AX16" s="154"/>
      <c r="AY16" s="154"/>
      <c r="AZ16" s="154"/>
      <c r="BA16" s="154"/>
      <c r="BB16" s="154"/>
      <c r="BC16" s="154"/>
      <c r="BD16" s="154"/>
      <c r="BE16" s="154"/>
      <c r="BF16" s="154"/>
      <c r="BG16" s="154"/>
      <c r="BH16" s="154"/>
      <c r="BI16" s="154"/>
      <c r="BJ16" s="154"/>
      <c r="BK16" s="154"/>
      <c r="BL16" s="154"/>
      <c r="BM16" s="154"/>
      <c r="BN16" s="154"/>
      <c r="BO16" s="154"/>
      <c r="BP16" s="154"/>
      <c r="BQ16" s="154"/>
      <c r="BR16" s="154"/>
      <c r="BS16" s="154"/>
      <c r="BT16" s="154"/>
      <c r="BU16" s="154"/>
      <c r="BV16" s="154"/>
      <c r="BW16" s="154"/>
      <c r="BX16" s="154"/>
      <c r="BY16" s="154"/>
      <c r="BZ16" s="154"/>
      <c r="CA16" s="154"/>
      <c r="CB16" s="154"/>
      <c r="CC16" s="154"/>
      <c r="CD16" s="154"/>
      <c r="CE16" s="154"/>
      <c r="CF16" s="154"/>
      <c r="CG16" s="154"/>
      <c r="CH16" s="154"/>
      <c r="CI16" s="154"/>
      <c r="CJ16" s="154"/>
      <c r="CK16" s="154"/>
      <c r="CL16" s="154"/>
      <c r="CM16" s="154"/>
      <c r="CN16" s="154"/>
      <c r="CO16" s="154"/>
      <c r="CP16" s="154"/>
      <c r="CQ16" s="154"/>
      <c r="CR16" s="154"/>
      <c r="CS16" s="154"/>
      <c r="CT16" s="154"/>
      <c r="CU16" s="154"/>
      <c r="CV16" s="154"/>
      <c r="CW16" s="154"/>
      <c r="CX16" s="154"/>
      <c r="CY16" s="154"/>
      <c r="CZ16" s="154"/>
      <c r="DA16" s="154"/>
      <c r="DB16" s="154"/>
      <c r="DC16" s="154"/>
      <c r="DD16" s="154"/>
      <c r="DE16" s="154"/>
      <c r="DF16" s="154"/>
      <c r="DG16" s="154"/>
      <c r="DH16" s="154"/>
      <c r="DI16" s="154"/>
      <c r="DJ16" s="154"/>
      <c r="DK16" s="154"/>
      <c r="DL16" s="154"/>
      <c r="DM16" s="154"/>
      <c r="DN16" s="154"/>
      <c r="DO16" s="154"/>
      <c r="DP16" s="154"/>
      <c r="DQ16" s="154"/>
      <c r="DR16" s="154"/>
      <c r="DS16" s="154"/>
      <c r="DT16" s="154"/>
      <c r="DU16" s="154"/>
      <c r="DV16" s="154"/>
      <c r="DW16" s="154"/>
      <c r="DX16" s="154"/>
      <c r="DY16" s="154"/>
      <c r="DZ16" s="154"/>
      <c r="EA16" s="154"/>
      <c r="EB16" s="154"/>
      <c r="EC16" s="154"/>
      <c r="ED16" s="154"/>
      <c r="EE16" s="154"/>
      <c r="EF16" s="154"/>
      <c r="EG16" s="154"/>
      <c r="EH16" s="154"/>
      <c r="EI16" s="154"/>
      <c r="EJ16" s="154"/>
      <c r="EK16" s="154"/>
      <c r="EL16" s="154"/>
      <c r="EM16" s="154"/>
      <c r="EN16" s="154"/>
      <c r="EO16" s="154"/>
      <c r="EP16" s="154"/>
      <c r="EQ16" s="154"/>
      <c r="ER16" s="154"/>
      <c r="ES16" s="154"/>
      <c r="ET16" s="154"/>
      <c r="EU16" s="154"/>
      <c r="EV16" s="154"/>
      <c r="EW16" s="154"/>
      <c r="EX16" s="154"/>
      <c r="EY16" s="154"/>
      <c r="EZ16" s="154"/>
      <c r="FA16" s="154"/>
      <c r="FB16" s="154"/>
      <c r="FC16" s="154"/>
      <c r="FD16" s="154"/>
      <c r="FE16" s="154"/>
      <c r="FF16" s="154"/>
      <c r="FG16" s="154"/>
      <c r="FH16" s="154"/>
      <c r="FI16" s="154"/>
      <c r="FJ16" s="154"/>
      <c r="FK16" s="154"/>
      <c r="FL16" s="154"/>
      <c r="FM16" s="154"/>
      <c r="FN16" s="154"/>
    </row>
    <row r="17" s="90" customFormat="1" customHeight="1" spans="1:170">
      <c r="A17" s="154"/>
      <c r="B17" s="154"/>
      <c r="C17" s="154"/>
      <c r="D17" s="154"/>
      <c r="E17" s="154"/>
      <c r="F17" s="154"/>
      <c r="G17" s="154"/>
      <c r="H17" s="154"/>
      <c r="I17" s="154"/>
      <c r="J17" s="154"/>
      <c r="K17" s="154"/>
      <c r="L17" s="154"/>
      <c r="M17" s="154"/>
      <c r="N17" s="154"/>
      <c r="O17" s="154"/>
      <c r="P17" s="154"/>
      <c r="Q17" s="154"/>
      <c r="R17" s="154"/>
      <c r="S17" s="154"/>
      <c r="T17" s="154"/>
      <c r="U17" s="154"/>
      <c r="V17" s="154"/>
      <c r="W17" s="154"/>
      <c r="X17" s="154"/>
      <c r="Y17" s="154"/>
      <c r="Z17" s="154"/>
      <c r="AA17" s="154"/>
      <c r="AB17" s="154"/>
      <c r="AC17" s="154"/>
      <c r="AD17" s="154"/>
      <c r="AE17" s="154"/>
      <c r="AF17" s="154"/>
      <c r="AG17" s="154"/>
      <c r="AH17" s="154"/>
      <c r="AI17" s="154"/>
      <c r="AJ17" s="154"/>
      <c r="AK17" s="154"/>
      <c r="AL17" s="154"/>
      <c r="AM17" s="154"/>
      <c r="AN17" s="154"/>
      <c r="AO17" s="154"/>
      <c r="AP17" s="154"/>
      <c r="AQ17" s="154"/>
      <c r="AR17" s="154"/>
      <c r="AS17" s="154"/>
      <c r="AT17" s="154"/>
      <c r="AU17" s="154"/>
      <c r="AV17" s="154"/>
      <c r="AW17" s="154"/>
      <c r="AX17" s="154"/>
      <c r="AY17" s="154"/>
      <c r="AZ17" s="154"/>
      <c r="BA17" s="154"/>
      <c r="BB17" s="154"/>
      <c r="BC17" s="154"/>
      <c r="BD17" s="154"/>
      <c r="BE17" s="154"/>
      <c r="BF17" s="154"/>
      <c r="BG17" s="154"/>
      <c r="BH17" s="154"/>
      <c r="BI17" s="154"/>
      <c r="BJ17" s="154"/>
      <c r="BK17" s="154"/>
      <c r="BL17" s="154"/>
      <c r="BM17" s="154"/>
      <c r="BN17" s="154"/>
      <c r="BO17" s="154"/>
      <c r="BP17" s="154"/>
      <c r="BQ17" s="154"/>
      <c r="BR17" s="154"/>
      <c r="BS17" s="154"/>
      <c r="BT17" s="154"/>
      <c r="BU17" s="154"/>
      <c r="BV17" s="154"/>
      <c r="BW17" s="154"/>
      <c r="BX17" s="154"/>
      <c r="BY17" s="154"/>
      <c r="BZ17" s="154"/>
      <c r="CA17" s="154"/>
      <c r="CB17" s="154"/>
      <c r="CC17" s="154"/>
      <c r="CD17" s="154"/>
      <c r="CE17" s="154"/>
      <c r="CF17" s="154"/>
      <c r="CG17" s="154"/>
      <c r="CH17" s="154"/>
      <c r="CI17" s="154"/>
      <c r="CJ17" s="154"/>
      <c r="CK17" s="154"/>
      <c r="CL17" s="154"/>
      <c r="CM17" s="154"/>
      <c r="CN17" s="154"/>
      <c r="CO17" s="154"/>
      <c r="CP17" s="154"/>
      <c r="CQ17" s="154"/>
      <c r="CR17" s="154"/>
      <c r="CS17" s="154"/>
      <c r="CT17" s="154"/>
      <c r="CU17" s="154"/>
      <c r="CV17" s="154"/>
      <c r="CW17" s="154"/>
      <c r="CX17" s="154"/>
      <c r="CY17" s="154"/>
      <c r="CZ17" s="154"/>
      <c r="DA17" s="154"/>
      <c r="DB17" s="154"/>
      <c r="DC17" s="154"/>
      <c r="DD17" s="154"/>
      <c r="DE17" s="154"/>
      <c r="DF17" s="154"/>
      <c r="DG17" s="154"/>
      <c r="DH17" s="154"/>
      <c r="DI17" s="154"/>
      <c r="DJ17" s="154"/>
      <c r="DK17" s="154"/>
      <c r="DL17" s="154"/>
      <c r="DM17" s="154"/>
      <c r="DN17" s="154"/>
      <c r="DO17" s="154"/>
      <c r="DP17" s="154"/>
      <c r="DQ17" s="154"/>
      <c r="DR17" s="154"/>
      <c r="DS17" s="154"/>
      <c r="DT17" s="154"/>
      <c r="DU17" s="154"/>
      <c r="DV17" s="154"/>
      <c r="DW17" s="154"/>
      <c r="DX17" s="154"/>
      <c r="DY17" s="154"/>
      <c r="DZ17" s="154"/>
      <c r="EA17" s="154"/>
      <c r="EB17" s="154"/>
      <c r="EC17" s="154"/>
      <c r="ED17" s="154"/>
      <c r="EE17" s="154"/>
      <c r="EF17" s="154"/>
      <c r="EG17" s="154"/>
      <c r="EH17" s="154"/>
      <c r="EI17" s="154"/>
      <c r="EJ17" s="154"/>
      <c r="EK17" s="154"/>
      <c r="EL17" s="154"/>
      <c r="EM17" s="154"/>
      <c r="EN17" s="154"/>
      <c r="EO17" s="154"/>
      <c r="EP17" s="154"/>
      <c r="EQ17" s="154"/>
      <c r="ER17" s="154"/>
      <c r="ES17" s="154"/>
      <c r="ET17" s="154"/>
      <c r="EU17" s="154"/>
      <c r="EV17" s="154"/>
      <c r="EW17" s="154"/>
      <c r="EX17" s="154"/>
      <c r="EY17" s="154"/>
      <c r="EZ17" s="154"/>
      <c r="FA17" s="154"/>
      <c r="FB17" s="154"/>
      <c r="FC17" s="154"/>
      <c r="FD17" s="154"/>
      <c r="FE17" s="154"/>
      <c r="FF17" s="154"/>
      <c r="FG17" s="154"/>
      <c r="FH17" s="154"/>
      <c r="FI17" s="154"/>
      <c r="FJ17" s="154"/>
      <c r="FK17" s="154"/>
      <c r="FL17" s="154"/>
      <c r="FM17" s="154"/>
      <c r="FN17" s="154"/>
    </row>
    <row r="18" s="194" customFormat="1" ht="16" customHeight="1" spans="1:170">
      <c r="A18" s="154"/>
    </row>
  </sheetData>
  <mergeCells count="10">
    <mergeCell ref="A1:D1"/>
    <mergeCell ref="A2:D2"/>
    <mergeCell ref="A3:D3"/>
    <mergeCell ref="A4:B4"/>
    <mergeCell ref="A7:B7"/>
    <mergeCell ref="A8:B8"/>
    <mergeCell ref="A11:B11"/>
    <mergeCell ref="A12:B12"/>
    <mergeCell ref="A5:A6"/>
    <mergeCell ref="A9:A10"/>
  </mergeCells>
  <printOptions horizontalCentered="1"/>
  <pageMargins left="0.75" right="0.75" top="1" bottom="1" header="0.5" footer="0.5"/>
  <pageSetup paperSize="9" orientation="portrait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XFD37"/>
  <sheetViews>
    <sheetView topLeftCell="A2" workbookViewId="0">
      <selection activeCell="L14" sqref="L14"/>
    </sheetView>
  </sheetViews>
  <sheetFormatPr defaultColWidth="9.23333333333333" defaultRowHeight="13.5"/>
  <cols>
    <col min="1" max="1" width="14.575" style="126" customWidth="1"/>
    <col min="2" max="2" width="11.35" style="127" customWidth="1"/>
    <col min="3" max="3" width="18.65" style="127" customWidth="1"/>
    <col min="4" max="4" width="12.0833333333333" style="127" hidden="1" customWidth="1"/>
    <col min="5" max="5" width="19.4333333333333" style="127" customWidth="1"/>
    <col min="6" max="6" width="22.275" style="127" customWidth="1"/>
    <col min="7" max="7" width="19.7083333333333" style="127" customWidth="1"/>
    <col min="8" max="8" width="9.23333333333333" style="127"/>
    <col min="9" max="10" width="9.23333333333333" style="127" hidden="1" customWidth="1"/>
    <col min="11" max="11" width="9.23333333333333" style="127"/>
    <col min="12" max="12" width="10.3333333333333" style="127" customWidth="1"/>
    <col min="13" max="16384" width="9.23333333333333" style="127"/>
  </cols>
  <sheetData>
    <row r="1" ht="41" customHeight="1" spans="1:10 16384:16384">
      <c r="A1" s="128" t="s">
        <v>21</v>
      </c>
      <c r="B1" s="128"/>
      <c r="C1" s="128"/>
      <c r="D1" s="128"/>
      <c r="E1" s="128"/>
      <c r="F1" s="128"/>
      <c r="G1" s="129"/>
      <c r="H1" s="130"/>
      <c r="I1" s="130"/>
      <c r="J1" s="130"/>
    </row>
    <row r="2" ht="38" customHeight="1" spans="1:10 16384:16384">
      <c r="A2" s="131" t="str">
        <f>北京印厂!A3</f>
        <v>期数：2649   版数：24    出版日期：2026年4月27日</v>
      </c>
      <c r="B2" s="131"/>
      <c r="C2" s="131"/>
      <c r="D2" s="132"/>
      <c r="E2" s="132"/>
      <c r="F2" s="132"/>
      <c r="G2" s="132"/>
      <c r="H2" s="130"/>
      <c r="I2" s="130"/>
      <c r="J2" s="130"/>
    </row>
    <row r="3" ht="37" customHeight="1" spans="1:10 16384:16384">
      <c r="A3" s="133" t="s">
        <v>22</v>
      </c>
      <c r="B3" s="134"/>
      <c r="C3" s="98" t="s">
        <v>23</v>
      </c>
      <c r="D3" s="98" t="s">
        <v>24</v>
      </c>
      <c r="E3" s="98" t="s">
        <v>25</v>
      </c>
      <c r="F3" s="135" t="s">
        <v>26</v>
      </c>
      <c r="G3" s="130"/>
      <c r="H3" s="130"/>
      <c r="I3" s="130"/>
      <c r="XFD3" s="126"/>
    </row>
    <row r="4" ht="45" customHeight="1" spans="1:10 16384:16384">
      <c r="A4" s="136" t="s">
        <v>27</v>
      </c>
      <c r="B4" s="64"/>
      <c r="C4" s="137">
        <f>'零售渠道`'!B7+'订阅渠道`'!B8+'社用报`'!B28</f>
        <v>9295</v>
      </c>
      <c r="D4" s="137">
        <v>9265</v>
      </c>
      <c r="E4" s="138">
        <f t="shared" ref="E4:E9" si="0">C4-D4</f>
        <v>30</v>
      </c>
      <c r="F4" s="139">
        <f t="shared" ref="F4:F9" si="1">E4/D4</f>
        <v>0.0032379924446843</v>
      </c>
      <c r="G4" s="140"/>
      <c r="H4" s="140"/>
      <c r="I4" s="140"/>
      <c r="XFD4" s="126"/>
    </row>
    <row r="5" ht="25" customHeight="1" spans="1:10 16384:16384">
      <c r="A5" s="141" t="s">
        <v>18</v>
      </c>
      <c r="B5" s="142"/>
      <c r="C5" s="114">
        <f>SUM(C4:C4)</f>
        <v>9295</v>
      </c>
      <c r="D5" s="114">
        <f>SUM(D4:D4)</f>
        <v>9265</v>
      </c>
      <c r="E5" s="114">
        <f>SUM(E4:E4)</f>
        <v>30</v>
      </c>
      <c r="F5" s="143">
        <f t="shared" si="1"/>
        <v>0.0032379924446843</v>
      </c>
      <c r="G5" s="144"/>
      <c r="H5" s="144"/>
      <c r="I5" s="144"/>
      <c r="XFD5" s="126"/>
    </row>
    <row r="6" ht="25" customHeight="1" spans="1:10 16384:16384">
      <c r="B6" s="145"/>
      <c r="C6" s="146"/>
      <c r="D6" s="146"/>
      <c r="E6" s="130"/>
      <c r="F6" s="147"/>
      <c r="G6" s="140"/>
      <c r="H6" s="140"/>
      <c r="I6" s="140"/>
      <c r="XFD6" s="126"/>
    </row>
    <row r="7" ht="37" customHeight="1" spans="1:10 16384:16384">
      <c r="A7" s="133" t="s">
        <v>28</v>
      </c>
      <c r="B7" s="134"/>
      <c r="C7" s="98" t="s">
        <v>23</v>
      </c>
      <c r="D7" s="98" t="s">
        <v>24</v>
      </c>
      <c r="E7" s="98" t="s">
        <v>29</v>
      </c>
      <c r="F7" s="135" t="s">
        <v>26</v>
      </c>
      <c r="G7" s="140"/>
      <c r="H7" s="140"/>
      <c r="I7" s="140"/>
      <c r="XFD7" s="126"/>
    </row>
    <row r="8" ht="37" customHeight="1" spans="1:10 16384:16384">
      <c r="A8" s="148" t="s">
        <v>30</v>
      </c>
      <c r="B8" s="64" t="s">
        <v>7</v>
      </c>
      <c r="C8" s="137">
        <v>1212</v>
      </c>
      <c r="D8" s="137">
        <v>1212</v>
      </c>
      <c r="E8" s="149">
        <f t="shared" si="0"/>
        <v>0</v>
      </c>
      <c r="F8" s="139">
        <f>E8/D8</f>
        <v>0</v>
      </c>
      <c r="G8" s="140"/>
      <c r="H8" s="140"/>
      <c r="I8" s="140"/>
      <c r="XFD8" s="126"/>
    </row>
    <row r="9" ht="37" customHeight="1" spans="1:10 16384:16384">
      <c r="A9" s="150"/>
      <c r="B9" s="64" t="s">
        <v>8</v>
      </c>
      <c r="C9" s="137">
        <v>5575</v>
      </c>
      <c r="D9" s="137">
        <v>5572</v>
      </c>
      <c r="E9" s="149">
        <f t="shared" si="0"/>
        <v>3</v>
      </c>
      <c r="F9" s="139">
        <f t="shared" si="1"/>
        <v>0.00053840631730079</v>
      </c>
      <c r="G9" s="140"/>
      <c r="H9" s="140"/>
      <c r="I9" s="140"/>
      <c r="XFD9" s="126"/>
    </row>
    <row r="10" ht="37" customHeight="1" spans="1:10 16384:16384">
      <c r="A10" s="136" t="s">
        <v>31</v>
      </c>
      <c r="B10" s="64"/>
      <c r="C10" s="137">
        <f>'零售渠道`'!B4+'零售渠道`'!B5</f>
        <v>1052</v>
      </c>
      <c r="D10" s="137">
        <v>1052</v>
      </c>
      <c r="E10" s="149">
        <f t="shared" ref="E10:E16" si="2">C10-D10</f>
        <v>0</v>
      </c>
      <c r="F10" s="139">
        <f t="shared" ref="F10:F17" si="3">E10/D10</f>
        <v>0</v>
      </c>
      <c r="G10" s="140"/>
      <c r="H10" s="140"/>
      <c r="I10" s="140"/>
      <c r="XFD10" s="126"/>
    </row>
    <row r="11" ht="37" customHeight="1" spans="1:10 16384:16384">
      <c r="A11" s="136" t="s">
        <v>32</v>
      </c>
      <c r="B11" s="64"/>
      <c r="C11" s="137">
        <f>'零售渠道`'!B6</f>
        <v>500</v>
      </c>
      <c r="D11" s="137">
        <v>500</v>
      </c>
      <c r="E11" s="149">
        <f t="shared" si="2"/>
        <v>0</v>
      </c>
      <c r="F11" s="139">
        <f t="shared" si="3"/>
        <v>0</v>
      </c>
      <c r="G11" s="140"/>
      <c r="H11" s="140"/>
      <c r="I11" s="151">
        <f>'收发室自留分发（需打印）'!B19</f>
        <v>230</v>
      </c>
      <c r="J11" s="127" t="s">
        <v>33</v>
      </c>
      <c r="XFD11" s="126"/>
    </row>
    <row r="12" ht="37" customHeight="1" spans="1:10 16384:16384">
      <c r="A12" s="136" t="s">
        <v>34</v>
      </c>
      <c r="B12" s="64"/>
      <c r="C12" s="137">
        <f>'社用报`'!B19+'社用报`'!B20+'社用报`'!B22+'社用报`'!B21</f>
        <v>52</v>
      </c>
      <c r="D12" s="137">
        <v>52</v>
      </c>
      <c r="E12" s="149">
        <f t="shared" si="2"/>
        <v>0</v>
      </c>
      <c r="F12" s="139">
        <f t="shared" si="3"/>
        <v>0</v>
      </c>
      <c r="G12" s="130"/>
      <c r="H12" s="130"/>
      <c r="I12" s="151">
        <f>'社用报`'!I5</f>
        <v>53</v>
      </c>
      <c r="J12" s="127" t="s">
        <v>35</v>
      </c>
      <c r="XFD12" s="126"/>
    </row>
    <row r="13" ht="37" customHeight="1" spans="1:10 16384:16384">
      <c r="A13" s="136" t="s">
        <v>36</v>
      </c>
      <c r="B13" s="64"/>
      <c r="C13" s="137">
        <f>'订阅渠道`'!B5+'订阅渠道`'!B6+'订阅渠道`'!B7</f>
        <v>398</v>
      </c>
      <c r="D13" s="137">
        <v>398</v>
      </c>
      <c r="E13" s="149">
        <f t="shared" si="2"/>
        <v>0</v>
      </c>
      <c r="F13" s="139">
        <f t="shared" si="3"/>
        <v>0</v>
      </c>
      <c r="G13" s="130"/>
      <c r="H13" s="130"/>
      <c r="I13" s="152">
        <f>'社用报`'!I6</f>
        <v>68</v>
      </c>
      <c r="J13" s="127" t="s">
        <v>37</v>
      </c>
      <c r="XFD13" s="126"/>
    </row>
    <row r="14" ht="37" customHeight="1" spans="1:10 16384:16384">
      <c r="A14" s="136" t="s">
        <v>38</v>
      </c>
      <c r="B14" s="64"/>
      <c r="C14" s="137">
        <f>'社用报`'!B18</f>
        <v>140</v>
      </c>
      <c r="D14" s="137">
        <v>140</v>
      </c>
      <c r="E14" s="149">
        <f t="shared" si="2"/>
        <v>0</v>
      </c>
      <c r="F14" s="139">
        <f t="shared" si="3"/>
        <v>0</v>
      </c>
      <c r="G14" s="151"/>
      <c r="H14" s="151"/>
      <c r="I14" s="127">
        <v>15</v>
      </c>
      <c r="J14" s="127" t="s">
        <v>17</v>
      </c>
      <c r="XFD14" s="126"/>
    </row>
    <row r="15" ht="37" customHeight="1" spans="1:10 16384:16384">
      <c r="A15" s="136" t="s">
        <v>39</v>
      </c>
      <c r="B15" s="64"/>
      <c r="C15" s="137">
        <f>I15</f>
        <v>366</v>
      </c>
      <c r="D15" s="137">
        <v>339</v>
      </c>
      <c r="E15" s="149">
        <f t="shared" si="2"/>
        <v>27</v>
      </c>
      <c r="F15" s="139">
        <f t="shared" si="3"/>
        <v>0.079646017699115</v>
      </c>
      <c r="G15" s="151"/>
      <c r="H15" s="151"/>
      <c r="I15" s="153">
        <f>SUM(I11:I14)</f>
        <v>366</v>
      </c>
      <c r="XFD15" s="126"/>
    </row>
    <row r="16" ht="37" customHeight="1" spans="1:10 16384:16384">
      <c r="A16" s="136" t="s">
        <v>40</v>
      </c>
      <c r="B16" s="64"/>
      <c r="C16" s="137">
        <f>'社用报`'!B27</f>
        <v>0</v>
      </c>
      <c r="D16" s="137">
        <v>0</v>
      </c>
      <c r="E16" s="137">
        <f t="shared" si="2"/>
        <v>0</v>
      </c>
      <c r="F16" s="139" t="s">
        <v>41</v>
      </c>
      <c r="G16" s="154"/>
      <c r="H16" s="154"/>
      <c r="XFD16" s="126"/>
    </row>
    <row r="17" ht="37" customHeight="1" spans="1:10 16384:16384">
      <c r="A17" s="141" t="s">
        <v>42</v>
      </c>
      <c r="B17" s="142"/>
      <c r="C17" s="114">
        <f>SUM(C8:C16)</f>
        <v>9295</v>
      </c>
      <c r="D17" s="114">
        <f>SUM(D8:D16)</f>
        <v>9265</v>
      </c>
      <c r="E17" s="114">
        <f>SUM(E8:E16)</f>
        <v>30</v>
      </c>
      <c r="F17" s="143">
        <f t="shared" si="3"/>
        <v>0.0032379924446843</v>
      </c>
      <c r="G17" s="154"/>
      <c r="H17" s="154"/>
      <c r="XFD17" s="126"/>
    </row>
    <row r="18" ht="18" customHeight="1" spans="1:10 16384:16384">
      <c r="B18" s="132"/>
      <c r="C18" s="132"/>
      <c r="D18" s="132"/>
      <c r="E18" s="132"/>
      <c r="F18" s="132"/>
      <c r="G18" s="132"/>
      <c r="H18" s="154"/>
      <c r="I18" s="154"/>
      <c r="J18" s="154"/>
    </row>
    <row r="19" ht="37" customHeight="1" spans="1:10 16384:16384">
      <c r="A19" s="155" t="s">
        <v>43</v>
      </c>
      <c r="B19" s="155"/>
      <c r="C19" s="156"/>
      <c r="D19" s="156"/>
      <c r="E19" s="157" t="str">
        <f>北京印厂!D15</f>
        <v>制表时间：2026年4月24日</v>
      </c>
      <c r="F19" s="157"/>
      <c r="G19" s="158"/>
      <c r="H19" s="154"/>
      <c r="I19" s="154"/>
      <c r="J19" s="154"/>
    </row>
    <row r="23" ht="49" customHeight="1" spans="1:10 16384:16384">
      <c r="A23" s="159" t="s">
        <v>0</v>
      </c>
      <c r="B23" s="159"/>
      <c r="C23" s="159"/>
      <c r="D23" s="159"/>
      <c r="E23" s="159"/>
      <c r="F23" s="159"/>
    </row>
    <row r="24" ht="41" customHeight="1" spans="1:10 16384:16384">
      <c r="A24" s="130" t="s">
        <v>1</v>
      </c>
      <c r="B24" s="154"/>
      <c r="C24" s="160"/>
      <c r="D24" s="160"/>
      <c r="E24" s="160"/>
      <c r="F24" s="160"/>
    </row>
    <row r="25" ht="41" customHeight="1" spans="1:10 16384:16384">
      <c r="A25" s="161" t="str">
        <f>北京印厂!A3</f>
        <v>期数：2649   版数：24    出版日期：2026年4月27日</v>
      </c>
      <c r="B25" s="131"/>
      <c r="C25" s="162"/>
      <c r="D25" s="132"/>
      <c r="E25" s="132"/>
      <c r="F25" s="132"/>
    </row>
    <row r="26" ht="41" customHeight="1" spans="1:10 16384:16384">
      <c r="A26" s="163" t="s">
        <v>3</v>
      </c>
      <c r="B26" s="164"/>
      <c r="C26" s="164"/>
      <c r="D26" s="165"/>
      <c r="E26" s="164" t="s">
        <v>4</v>
      </c>
      <c r="F26" s="166" t="s">
        <v>5</v>
      </c>
    </row>
    <row r="27" ht="41" customHeight="1" spans="1:10 16384:16384">
      <c r="A27" s="167" t="s">
        <v>6</v>
      </c>
      <c r="B27" s="54"/>
      <c r="C27" s="168" t="s">
        <v>7</v>
      </c>
      <c r="D27" s="169"/>
      <c r="E27" s="170">
        <f>北京印厂!C5</f>
        <v>1212</v>
      </c>
      <c r="F27" s="171"/>
    </row>
    <row r="28" ht="41" customHeight="1" spans="1:10 16384:16384">
      <c r="A28" s="172"/>
      <c r="B28" s="61"/>
      <c r="C28" s="173" t="s">
        <v>8</v>
      </c>
      <c r="D28" s="174"/>
      <c r="E28" s="175">
        <f>北京印厂!C6</f>
        <v>5575</v>
      </c>
      <c r="F28" s="176"/>
    </row>
    <row r="29" ht="41" customHeight="1" spans="1:10 16384:16384">
      <c r="A29" s="177" t="s">
        <v>9</v>
      </c>
      <c r="B29" s="178"/>
      <c r="C29" s="178"/>
      <c r="D29" s="179"/>
      <c r="E29" s="180">
        <f>北京印厂!C7</f>
        <v>230</v>
      </c>
      <c r="F29" s="181" t="s">
        <v>10</v>
      </c>
    </row>
    <row r="30" ht="41" customHeight="1" spans="1:10 16384:16384">
      <c r="A30" s="182" t="s">
        <v>11</v>
      </c>
      <c r="B30" s="183"/>
      <c r="C30" s="183"/>
      <c r="D30" s="184"/>
      <c r="E30" s="185">
        <f>北京印厂!C8</f>
        <v>1211</v>
      </c>
      <c r="F30" s="186" t="s">
        <v>10</v>
      </c>
    </row>
    <row r="31" ht="41" customHeight="1" spans="1:10 16384:16384">
      <c r="A31" s="167" t="s">
        <v>12</v>
      </c>
      <c r="B31" s="54"/>
      <c r="C31" s="54" t="s">
        <v>13</v>
      </c>
      <c r="D31" s="54"/>
      <c r="E31" s="170">
        <f>北京印厂!C9</f>
        <v>460</v>
      </c>
      <c r="F31" s="187" t="s">
        <v>14</v>
      </c>
    </row>
    <row r="32" ht="41" customHeight="1" spans="1:10 16384:16384">
      <c r="A32" s="172"/>
      <c r="B32" s="61"/>
      <c r="C32" s="61" t="s">
        <v>15</v>
      </c>
      <c r="D32" s="61"/>
      <c r="E32" s="188">
        <f>北京印厂!C10</f>
        <v>592</v>
      </c>
      <c r="F32" s="189" t="s">
        <v>14</v>
      </c>
    </row>
    <row r="33" ht="41" customHeight="1" spans="1:6">
      <c r="A33" s="177" t="str">
        <f>北京印厂!A11</f>
        <v>合订本专用</v>
      </c>
      <c r="B33" s="178"/>
      <c r="C33" s="178"/>
      <c r="D33" s="179"/>
      <c r="E33" s="180">
        <f>北京印厂!C11</f>
        <v>15</v>
      </c>
      <c r="F33" s="181" t="str">
        <f>北京印厂!D11</f>
        <v>印厂留存</v>
      </c>
    </row>
    <row r="34" ht="41" customHeight="1" spans="1:6">
      <c r="A34" s="163" t="s">
        <v>18</v>
      </c>
      <c r="B34" s="164"/>
      <c r="C34" s="164"/>
      <c r="D34" s="164"/>
      <c r="E34" s="190">
        <f>SUM(E27:E33)</f>
        <v>9295</v>
      </c>
      <c r="F34" s="191"/>
    </row>
    <row r="35" ht="14.25" spans="1:6">
      <c r="B35" s="154"/>
      <c r="C35" s="154"/>
      <c r="D35" s="154"/>
      <c r="E35" s="154"/>
      <c r="F35" s="154"/>
    </row>
    <row r="36" ht="34" customHeight="1" spans="1:6">
      <c r="B36" s="154"/>
      <c r="C36" s="154"/>
      <c r="D36" s="154"/>
      <c r="E36" s="154"/>
      <c r="F36" s="192" t="s">
        <v>19</v>
      </c>
    </row>
    <row r="37" ht="34" customHeight="1" spans="1:6">
      <c r="B37" s="154"/>
      <c r="C37" s="154"/>
      <c r="D37" s="154"/>
      <c r="E37" s="154"/>
      <c r="F37" s="193" t="str">
        <f>北京印厂!D15</f>
        <v>制表时间：2026年4月24日</v>
      </c>
    </row>
  </sheetData>
  <mergeCells count="23">
    <mergeCell ref="A1:F1"/>
    <mergeCell ref="A3:B3"/>
    <mergeCell ref="A4:B4"/>
    <mergeCell ref="A5:B5"/>
    <mergeCell ref="A7:B7"/>
    <mergeCell ref="A10:B10"/>
    <mergeCell ref="A11:B11"/>
    <mergeCell ref="A12:B12"/>
    <mergeCell ref="A13:B13"/>
    <mergeCell ref="A14:B14"/>
    <mergeCell ref="A15:B15"/>
    <mergeCell ref="A16:B16"/>
    <mergeCell ref="A17:B17"/>
    <mergeCell ref="E19:F19"/>
    <mergeCell ref="A23:F23"/>
    <mergeCell ref="A26:C26"/>
    <mergeCell ref="A29:C29"/>
    <mergeCell ref="A30:C30"/>
    <mergeCell ref="A33:C33"/>
    <mergeCell ref="A34:C34"/>
    <mergeCell ref="A8:A9"/>
    <mergeCell ref="A27:B28"/>
    <mergeCell ref="A31:B32"/>
  </mergeCells>
  <printOptions horizontalCentered="1"/>
  <pageMargins left="0.75" right="0.75" top="1" bottom="1" header="0.5" footer="0.5"/>
  <pageSetup paperSize="9" scale="53" orientation="portrait"/>
  <headerFooter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  <pageSetUpPr fitToPage="1"/>
  </sheetPr>
  <dimension ref="A1:E21"/>
  <sheetViews>
    <sheetView zoomScale="130" zoomScaleNormal="130" workbookViewId="0">
      <selection activeCell="A1" sqref="A1:E1"/>
    </sheetView>
  </sheetViews>
  <sheetFormatPr defaultColWidth="9.69166666666667" defaultRowHeight="20.1" customHeight="1" outlineLevelCol="4"/>
  <cols>
    <col min="1" max="1" width="20.95" style="90" customWidth="1"/>
    <col min="2" max="2" width="16.65" style="90" customWidth="1"/>
    <col min="3" max="3" width="10.6" style="90" hidden="1" customWidth="1"/>
    <col min="4" max="4" width="14.4333333333333" style="90" customWidth="1"/>
    <col min="5" max="5" width="16.8" style="118" customWidth="1"/>
    <col min="6" max="16383" width="9.69166666666667" style="90"/>
    <col min="16384" max="16384" width="9.69166666666667" style="94"/>
  </cols>
  <sheetData>
    <row r="1" s="90" customFormat="1" ht="43" customHeight="1" spans="1:5">
      <c r="A1" s="95" t="s">
        <v>44</v>
      </c>
      <c r="B1" s="95"/>
      <c r="C1" s="95"/>
      <c r="D1" s="95"/>
      <c r="E1" s="95"/>
    </row>
    <row r="2" s="91" customFormat="1" ht="33" customHeight="1" spans="1:5">
      <c r="A2" s="96" t="str">
        <f>北京印厂!A3</f>
        <v>期数：2649   版数：24    出版日期：2026年4月27日</v>
      </c>
      <c r="B2" s="96"/>
      <c r="C2" s="96"/>
      <c r="D2" s="96"/>
      <c r="E2" s="96"/>
    </row>
    <row r="3" s="91" customFormat="1" ht="30" customHeight="1" spans="1:5">
      <c r="A3" s="97" t="s">
        <v>3</v>
      </c>
      <c r="B3" s="98" t="s">
        <v>23</v>
      </c>
      <c r="C3" s="98" t="s">
        <v>24</v>
      </c>
      <c r="D3" s="98" t="s">
        <v>25</v>
      </c>
      <c r="E3" s="119" t="s">
        <v>45</v>
      </c>
    </row>
    <row r="4" s="92" customFormat="1" ht="30" customHeight="1" spans="1:5">
      <c r="A4" s="120" t="s">
        <v>46</v>
      </c>
      <c r="B4" s="121">
        <v>460</v>
      </c>
      <c r="C4" s="122">
        <v>460</v>
      </c>
      <c r="D4" s="110">
        <f>(B4-C4)</f>
        <v>0</v>
      </c>
      <c r="E4" s="123" t="s">
        <v>13</v>
      </c>
    </row>
    <row r="5" s="92" customFormat="1" ht="30" customHeight="1" spans="1:5">
      <c r="A5" s="105"/>
      <c r="B5" s="121">
        <v>592</v>
      </c>
      <c r="C5" s="122">
        <v>592</v>
      </c>
      <c r="D5" s="110">
        <f>(B5-C5)</f>
        <v>0</v>
      </c>
      <c r="E5" s="123" t="s">
        <v>15</v>
      </c>
    </row>
    <row r="6" s="117" customFormat="1" ht="30" spans="1:5">
      <c r="A6" s="109" t="s">
        <v>47</v>
      </c>
      <c r="B6" s="121">
        <v>500</v>
      </c>
      <c r="C6" s="121">
        <v>500</v>
      </c>
      <c r="D6" s="110">
        <f>(B6-C6)</f>
        <v>0</v>
      </c>
      <c r="E6" s="123" t="s">
        <v>48</v>
      </c>
    </row>
    <row r="7" s="93" customFormat="1" ht="32" customHeight="1" spans="1:5">
      <c r="A7" s="113" t="s">
        <v>49</v>
      </c>
      <c r="B7" s="114">
        <f>SUM(B4:B6)</f>
        <v>1552</v>
      </c>
      <c r="C7" s="114">
        <f>SUM(C4:C6)</f>
        <v>1552</v>
      </c>
      <c r="D7" s="114">
        <f>SUM(D4:D6)</f>
        <v>0</v>
      </c>
      <c r="E7" s="124"/>
    </row>
    <row r="8" s="90" customFormat="1" ht="30" customHeight="1" spans="1:5">
      <c r="E8" s="118"/>
    </row>
    <row r="9" s="89" customFormat="1" ht="30" customHeight="1" spans="1:5">
      <c r="A9" s="90"/>
      <c r="B9" s="90"/>
      <c r="C9" s="90"/>
      <c r="D9" s="90"/>
      <c r="E9" s="118"/>
    </row>
    <row r="10" s="90" customFormat="1" customHeight="1" spans="1:5">
      <c r="E10" s="118"/>
    </row>
    <row r="11" s="90" customFormat="1" customHeight="1" spans="1:5">
      <c r="E11" s="118"/>
    </row>
    <row r="12" s="90" customFormat="1" customHeight="1" spans="1:5">
      <c r="E12" s="118"/>
    </row>
    <row r="13" s="90" customFormat="1" customHeight="1" spans="1:5">
      <c r="E13" s="118"/>
    </row>
    <row r="14" s="90" customFormat="1" customHeight="1" spans="1:5">
      <c r="E14" s="118"/>
    </row>
    <row r="15" s="90" customFormat="1" customHeight="1" spans="1:5">
      <c r="E15" s="118"/>
    </row>
    <row r="16" s="90" customFormat="1" customHeight="1" spans="1:5">
      <c r="E16" s="118"/>
    </row>
    <row r="17" s="90" customFormat="1" customHeight="1" spans="5:5">
      <c r="E17" s="118"/>
    </row>
    <row r="18" s="90" customFormat="1" customHeight="1" spans="5:5">
      <c r="E18" s="118"/>
    </row>
    <row r="19" s="90" customFormat="1" customHeight="1" spans="5:5">
      <c r="E19" s="118"/>
    </row>
    <row r="20" s="90" customFormat="1" customHeight="1" spans="5:5">
      <c r="E20" s="118"/>
    </row>
    <row r="21" s="90" customFormat="1" customHeight="1" spans="5:5">
      <c r="E21" s="125"/>
    </row>
  </sheetData>
  <mergeCells count="3">
    <mergeCell ref="A1:E1"/>
    <mergeCell ref="A2:E2"/>
    <mergeCell ref="A4:A5"/>
  </mergeCells>
  <printOptions horizontalCentered="1"/>
  <pageMargins left="0.75" right="0.75" top="1" bottom="1" header="0.5" footer="0.5"/>
  <pageSetup paperSize="9" orientation="portrait"/>
  <headerFooter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  <pageSetUpPr fitToPage="1"/>
  </sheetPr>
  <dimension ref="A1:E21"/>
  <sheetViews>
    <sheetView zoomScale="130" zoomScaleNormal="130" workbookViewId="0">
      <selection activeCell="E14" sqref="E14"/>
    </sheetView>
  </sheetViews>
  <sheetFormatPr defaultColWidth="9.69166666666667" defaultRowHeight="20.1" customHeight="1" outlineLevelCol="4"/>
  <cols>
    <col min="1" max="1" width="19.725" style="90" customWidth="1"/>
    <col min="2" max="2" width="16.6333333333333" style="90" customWidth="1"/>
    <col min="3" max="3" width="10.8333333333333" style="90" hidden="1" customWidth="1"/>
    <col min="4" max="4" width="16.0166666666667" style="90" customWidth="1"/>
    <col min="5" max="5" width="19.1083333333333" style="90" customWidth="1"/>
    <col min="6" max="6" width="10.875" style="90" customWidth="1"/>
    <col min="7" max="16383" width="9.69166666666667" style="90"/>
    <col min="16384" max="16384" width="9.69166666666667" style="94"/>
  </cols>
  <sheetData>
    <row r="1" s="90" customFormat="1" ht="35" customHeight="1" spans="1:5">
      <c r="A1" s="95" t="s">
        <v>50</v>
      </c>
      <c r="B1" s="95"/>
      <c r="C1" s="95"/>
      <c r="D1" s="95"/>
      <c r="E1" s="95"/>
    </row>
    <row r="2" s="91" customFormat="1" ht="30" customHeight="1" spans="1:5">
      <c r="A2" s="96" t="str">
        <f>北京印厂!A3</f>
        <v>期数：2649   版数：24    出版日期：2026年4月27日</v>
      </c>
      <c r="B2" s="96"/>
      <c r="C2" s="96"/>
      <c r="D2" s="96"/>
      <c r="E2" s="96"/>
    </row>
    <row r="3" s="91" customFormat="1" ht="28" customHeight="1" spans="1:5">
      <c r="A3" s="97" t="s">
        <v>3</v>
      </c>
      <c r="B3" s="98" t="s">
        <v>23</v>
      </c>
      <c r="C3" s="98" t="s">
        <v>24</v>
      </c>
      <c r="D3" s="98" t="s">
        <v>25</v>
      </c>
      <c r="E3" s="99" t="s">
        <v>45</v>
      </c>
    </row>
    <row r="4" s="92" customFormat="1" ht="41" customHeight="1" spans="1:5">
      <c r="A4" s="100" t="s">
        <v>51</v>
      </c>
      <c r="B4" s="101">
        <f>'人民日报印厂`'!C8+'人民日报印厂`'!C9</f>
        <v>6787</v>
      </c>
      <c r="C4" s="102">
        <v>6784</v>
      </c>
      <c r="D4" s="103">
        <f t="shared" ref="D4:D7" si="0">(B4-C4)</f>
        <v>3</v>
      </c>
      <c r="E4" s="104"/>
    </row>
    <row r="5" s="92" customFormat="1" ht="19.5" spans="1:5">
      <c r="A5" s="105" t="s">
        <v>52</v>
      </c>
      <c r="B5" s="106">
        <v>1</v>
      </c>
      <c r="C5" s="107">
        <v>1</v>
      </c>
      <c r="D5" s="106">
        <f t="shared" si="0"/>
        <v>0</v>
      </c>
      <c r="E5" s="108" t="s">
        <v>48</v>
      </c>
    </row>
    <row r="6" s="92" customFormat="1" ht="39" customHeight="1" spans="1:5">
      <c r="A6" s="109" t="s">
        <v>53</v>
      </c>
      <c r="B6" s="110">
        <v>31</v>
      </c>
      <c r="C6" s="110">
        <v>31</v>
      </c>
      <c r="D6" s="110">
        <f t="shared" si="0"/>
        <v>0</v>
      </c>
      <c r="E6" s="111" t="s">
        <v>48</v>
      </c>
    </row>
    <row r="7" s="92" customFormat="1" ht="18.75" spans="1:5">
      <c r="A7" s="112" t="s">
        <v>54</v>
      </c>
      <c r="B7" s="110">
        <v>366</v>
      </c>
      <c r="C7" s="110">
        <v>366</v>
      </c>
      <c r="D7" s="110">
        <f t="shared" si="0"/>
        <v>0</v>
      </c>
      <c r="E7" s="111" t="s">
        <v>48</v>
      </c>
    </row>
    <row r="8" s="93" customFormat="1" ht="33" customHeight="1" spans="1:5">
      <c r="A8" s="113" t="s">
        <v>49</v>
      </c>
      <c r="B8" s="114">
        <f>SUM(B4:B7)</f>
        <v>7185</v>
      </c>
      <c r="C8" s="114">
        <f>SUM(C4:C7)</f>
        <v>7182</v>
      </c>
      <c r="D8" s="114">
        <f>SUM(D4:D7)</f>
        <v>3</v>
      </c>
      <c r="E8" s="115"/>
    </row>
    <row r="9" s="89" customFormat="1" ht="22.95" customHeight="1" spans="1:5">
      <c r="A9" s="90"/>
      <c r="B9" s="90"/>
      <c r="C9" s="90"/>
      <c r="D9" s="90"/>
      <c r="E9" s="90"/>
    </row>
    <row r="10" s="90" customFormat="1" ht="22.95" customHeight="1"/>
    <row r="11" s="90" customFormat="1" ht="22.95" customHeight="1"/>
    <row r="12" s="90" customFormat="1" customHeight="1"/>
    <row r="13" s="90" customFormat="1" customHeight="1"/>
    <row r="14" s="90" customFormat="1" customHeight="1"/>
    <row r="15" s="90" customFormat="1" customHeight="1"/>
    <row r="16" s="90" customFormat="1" customHeight="1"/>
    <row r="17" s="90" customFormat="1" customHeight="1"/>
    <row r="18" s="90" customFormat="1" customHeight="1"/>
    <row r="19" s="90" customFormat="1" customHeight="1"/>
    <row r="20" s="90" customFormat="1" customHeight="1"/>
    <row r="21" s="90" customFormat="1" customHeight="1" spans="5:5">
      <c r="E21" s="116"/>
    </row>
  </sheetData>
  <mergeCells count="2">
    <mergeCell ref="A1:E1"/>
    <mergeCell ref="A2:E2"/>
  </mergeCells>
  <printOptions horizontalCentered="1"/>
  <pageMargins left="0.75" right="0.75" top="1" bottom="1" header="0.5" footer="0.5"/>
  <pageSetup paperSize="9" orientation="portrait"/>
  <headerFooter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4"/>
    <pageSetUpPr fitToPage="1"/>
  </sheetPr>
  <dimension ref="A1:J112"/>
  <sheetViews>
    <sheetView workbookViewId="0">
      <selection activeCell="O8" sqref="O8"/>
    </sheetView>
  </sheetViews>
  <sheetFormatPr defaultColWidth="9.69166666666667" defaultRowHeight="20.1" customHeight="1"/>
  <cols>
    <col min="1" max="1" width="21.1083333333333" style="39" customWidth="1"/>
    <col min="2" max="2" width="17.0416666666667" style="39" customWidth="1"/>
    <col min="3" max="3" width="11.2083333333333" style="43" hidden="1" customWidth="1"/>
    <col min="4" max="4" width="13.1083333333333" style="39" customWidth="1"/>
    <col min="5" max="5" width="9.8" style="43" customWidth="1"/>
    <col min="6" max="6" width="17.875" style="39" customWidth="1"/>
    <col min="7" max="7" width="14.3166666666667" style="39" customWidth="1"/>
    <col min="8" max="8" width="9.69166666666667" style="39"/>
    <col min="9" max="10" width="9.69166666666667" style="39" hidden="1" customWidth="1"/>
    <col min="11" max="11" width="9.69166666666667" style="39" customWidth="1"/>
    <col min="12" max="16383" width="9.69166666666667" style="39"/>
    <col min="16384" max="16384" width="9.69166666666667" style="44"/>
  </cols>
  <sheetData>
    <row r="1" s="39" customFormat="1" ht="31.05" customHeight="1" spans="1:10">
      <c r="A1" s="45" t="s">
        <v>55</v>
      </c>
      <c r="B1" s="45"/>
      <c r="C1" s="45"/>
      <c r="D1" s="45"/>
      <c r="E1" s="45"/>
      <c r="F1" s="45"/>
    </row>
    <row r="2" s="39" customFormat="1" ht="33" customHeight="1" spans="1:10">
      <c r="A2" s="46" t="str">
        <f>北京印厂!A3</f>
        <v>期数：2649   版数：24    出版日期：2026年4月27日</v>
      </c>
      <c r="C2" s="43"/>
      <c r="E2" s="43"/>
    </row>
    <row r="3" s="40" customFormat="1" ht="25.05" customHeight="1" spans="1:10">
      <c r="A3" s="47" t="s">
        <v>56</v>
      </c>
      <c r="B3" s="48" t="s">
        <v>23</v>
      </c>
      <c r="C3" s="48" t="s">
        <v>24</v>
      </c>
      <c r="D3" s="48" t="s">
        <v>25</v>
      </c>
      <c r="E3" s="48" t="s">
        <v>57</v>
      </c>
      <c r="F3" s="49" t="s">
        <v>45</v>
      </c>
      <c r="I3" s="41"/>
      <c r="J3" s="41"/>
    </row>
    <row r="4" s="41" customFormat="1" ht="25.05" customHeight="1" spans="1:10">
      <c r="A4" s="50" t="s">
        <v>58</v>
      </c>
      <c r="B4" s="51">
        <f>I4+I5+I6</f>
        <v>150</v>
      </c>
      <c r="C4" s="52">
        <v>148</v>
      </c>
      <c r="D4" s="53">
        <f t="shared" ref="D4:D21" si="0">B4-C4</f>
        <v>2</v>
      </c>
      <c r="E4" s="54" t="s">
        <v>59</v>
      </c>
      <c r="F4" s="55" t="s">
        <v>60</v>
      </c>
      <c r="I4" s="56">
        <f>'收发室自留分发（需打印）'!B5</f>
        <v>29</v>
      </c>
      <c r="J4" s="41" t="s">
        <v>59</v>
      </c>
    </row>
    <row r="5" s="41" customFormat="1" ht="25.05" customHeight="1" spans="1:10">
      <c r="A5" s="57" t="s">
        <v>61</v>
      </c>
      <c r="B5" s="58">
        <f>'收发室自留分发（需打印）'!B6</f>
        <v>3</v>
      </c>
      <c r="C5" s="59">
        <v>3</v>
      </c>
      <c r="D5" s="60">
        <f t="shared" si="0"/>
        <v>0</v>
      </c>
      <c r="E5" s="61" t="s">
        <v>59</v>
      </c>
      <c r="F5" s="55"/>
      <c r="I5" s="41">
        <v>53</v>
      </c>
      <c r="J5" s="41" t="s">
        <v>35</v>
      </c>
    </row>
    <row r="6" s="41" customFormat="1" ht="25.05" customHeight="1" spans="1:10">
      <c r="A6" s="62" t="s">
        <v>62</v>
      </c>
      <c r="B6" s="63">
        <f>'收发室自留分发（需打印）'!B7</f>
        <v>45</v>
      </c>
      <c r="C6" s="63">
        <v>45</v>
      </c>
      <c r="D6" s="60">
        <f t="shared" si="0"/>
        <v>0</v>
      </c>
      <c r="E6" s="64" t="s">
        <v>59</v>
      </c>
      <c r="F6" s="55"/>
      <c r="I6" s="56">
        <v>68</v>
      </c>
      <c r="J6" s="41" t="s">
        <v>37</v>
      </c>
    </row>
    <row r="7" s="41" customFormat="1" ht="25.05" customHeight="1" spans="1:10">
      <c r="A7" s="62" t="s">
        <v>63</v>
      </c>
      <c r="B7" s="63">
        <f>'收发室自留分发（需打印）'!B8</f>
        <v>4</v>
      </c>
      <c r="C7" s="63">
        <v>4</v>
      </c>
      <c r="D7" s="60">
        <f t="shared" si="0"/>
        <v>0</v>
      </c>
      <c r="E7" s="64" t="s">
        <v>59</v>
      </c>
      <c r="F7" s="55"/>
      <c r="I7" s="65"/>
    </row>
    <row r="8" s="41" customFormat="1" ht="25.05" customHeight="1" spans="1:10">
      <c r="A8" s="62" t="s">
        <v>64</v>
      </c>
      <c r="B8" s="63">
        <f>'收发室自留分发（需打印）'!B9</f>
        <v>25</v>
      </c>
      <c r="C8" s="66">
        <v>20</v>
      </c>
      <c r="D8" s="60">
        <f t="shared" si="0"/>
        <v>5</v>
      </c>
      <c r="E8" s="64" t="s">
        <v>59</v>
      </c>
      <c r="F8" s="55"/>
    </row>
    <row r="9" s="41" customFormat="1" ht="25.05" customHeight="1" spans="1:10">
      <c r="A9" s="62" t="s">
        <v>65</v>
      </c>
      <c r="B9" s="63">
        <f>'收发室自留分发（需打印）'!B10</f>
        <v>25</v>
      </c>
      <c r="C9" s="66">
        <v>5</v>
      </c>
      <c r="D9" s="60">
        <f t="shared" si="0"/>
        <v>20</v>
      </c>
      <c r="E9" s="64" t="s">
        <v>59</v>
      </c>
      <c r="F9" s="55"/>
    </row>
    <row r="10" s="41" customFormat="1" ht="25.05" customHeight="1" spans="1:10">
      <c r="A10" s="62" t="s">
        <v>66</v>
      </c>
      <c r="B10" s="63">
        <f>'收发室自留分发（需打印）'!B11</f>
        <v>10</v>
      </c>
      <c r="C10" s="63">
        <v>10</v>
      </c>
      <c r="D10" s="60">
        <f t="shared" si="0"/>
        <v>0</v>
      </c>
      <c r="E10" s="64" t="s">
        <v>59</v>
      </c>
      <c r="F10" s="55"/>
    </row>
    <row r="11" s="41" customFormat="1" ht="25.05" customHeight="1" spans="1:10">
      <c r="A11" s="62" t="s">
        <v>67</v>
      </c>
      <c r="B11" s="63">
        <f>'收发室自留分发（需打印）'!B12</f>
        <v>5</v>
      </c>
      <c r="C11" s="66">
        <v>5</v>
      </c>
      <c r="D11" s="60">
        <f t="shared" si="0"/>
        <v>0</v>
      </c>
      <c r="E11" s="64" t="s">
        <v>59</v>
      </c>
      <c r="F11" s="55"/>
    </row>
    <row r="12" s="41" customFormat="1" ht="25.05" customHeight="1" spans="1:10">
      <c r="A12" s="62" t="s">
        <v>68</v>
      </c>
      <c r="B12" s="63">
        <f>'收发室自留分发（需打印）'!B13</f>
        <v>7</v>
      </c>
      <c r="C12" s="63">
        <v>7</v>
      </c>
      <c r="D12" s="60">
        <f t="shared" si="0"/>
        <v>0</v>
      </c>
      <c r="E12" s="64" t="s">
        <v>59</v>
      </c>
      <c r="F12" s="55"/>
    </row>
    <row r="13" s="41" customFormat="1" ht="25.05" customHeight="1" spans="1:10">
      <c r="A13" s="62" t="s">
        <v>69</v>
      </c>
      <c r="B13" s="63">
        <f>'收发室自留分发（需打印）'!B14</f>
        <v>2</v>
      </c>
      <c r="C13" s="63">
        <v>2</v>
      </c>
      <c r="D13" s="60">
        <f t="shared" si="0"/>
        <v>0</v>
      </c>
      <c r="E13" s="64" t="s">
        <v>59</v>
      </c>
      <c r="F13" s="55"/>
    </row>
    <row r="14" s="41" customFormat="1" ht="25.05" customHeight="1" spans="1:10">
      <c r="A14" s="57" t="s">
        <v>70</v>
      </c>
      <c r="B14" s="63">
        <f>'收发室自留分发（需打印）'!B15</f>
        <v>64</v>
      </c>
      <c r="C14" s="58">
        <v>64</v>
      </c>
      <c r="D14" s="60">
        <f t="shared" si="0"/>
        <v>0</v>
      </c>
      <c r="E14" s="61" t="s">
        <v>59</v>
      </c>
      <c r="F14" s="55"/>
    </row>
    <row r="15" s="41" customFormat="1" ht="25.05" customHeight="1" spans="1:10">
      <c r="A15" s="57" t="s">
        <v>71</v>
      </c>
      <c r="B15" s="63">
        <f>'收发室自留分发（需打印）'!B16</f>
        <v>1</v>
      </c>
      <c r="C15" s="58">
        <v>1</v>
      </c>
      <c r="D15" s="60">
        <f t="shared" si="0"/>
        <v>0</v>
      </c>
      <c r="E15" s="64" t="s">
        <v>59</v>
      </c>
      <c r="F15" s="55"/>
    </row>
    <row r="16" s="41" customFormat="1" ht="25.05" customHeight="1" spans="1:10">
      <c r="A16" s="57" t="s">
        <v>72</v>
      </c>
      <c r="B16" s="63">
        <f>'收发室自留分发（需打印）'!B17</f>
        <v>10</v>
      </c>
      <c r="C16" s="58">
        <v>10</v>
      </c>
      <c r="D16" s="60">
        <f t="shared" si="0"/>
        <v>0</v>
      </c>
      <c r="E16" s="64" t="s">
        <v>59</v>
      </c>
      <c r="F16" s="55"/>
    </row>
    <row r="17" s="41" customFormat="1" ht="25.05" customHeight="1" spans="1:10">
      <c r="A17" s="57" t="s">
        <v>17</v>
      </c>
      <c r="B17" s="63">
        <v>15</v>
      </c>
      <c r="C17" s="58">
        <v>15</v>
      </c>
      <c r="D17" s="60">
        <f t="shared" si="0"/>
        <v>0</v>
      </c>
      <c r="E17" s="64" t="s">
        <v>59</v>
      </c>
      <c r="F17" s="55"/>
    </row>
    <row r="18" s="41" customFormat="1" ht="25.05" customHeight="1" spans="1:10">
      <c r="A18" s="57" t="s">
        <v>38</v>
      </c>
      <c r="B18" s="63">
        <f>I18+I19</f>
        <v>140</v>
      </c>
      <c r="C18" s="58">
        <v>140</v>
      </c>
      <c r="D18" s="60">
        <f t="shared" si="0"/>
        <v>0</v>
      </c>
      <c r="E18" s="64" t="s">
        <v>59</v>
      </c>
      <c r="F18" s="67" t="s">
        <v>48</v>
      </c>
      <c r="I18" s="41">
        <v>30</v>
      </c>
      <c r="J18" s="41" t="s">
        <v>73</v>
      </c>
    </row>
    <row r="19" s="41" customFormat="1" ht="25.05" customHeight="1" spans="1:10">
      <c r="A19" s="62" t="s">
        <v>74</v>
      </c>
      <c r="B19" s="63">
        <v>10</v>
      </c>
      <c r="C19" s="63">
        <v>10</v>
      </c>
      <c r="D19" s="60">
        <f t="shared" si="0"/>
        <v>0</v>
      </c>
      <c r="E19" s="64" t="s">
        <v>75</v>
      </c>
      <c r="F19" s="67" t="s">
        <v>48</v>
      </c>
      <c r="I19" s="41">
        <v>110</v>
      </c>
      <c r="J19" s="41" t="s">
        <v>76</v>
      </c>
    </row>
    <row r="20" s="41" customFormat="1" ht="25.05" customHeight="1" spans="1:10">
      <c r="A20" s="57" t="s">
        <v>77</v>
      </c>
      <c r="B20" s="58">
        <v>30</v>
      </c>
      <c r="C20" s="58">
        <v>30</v>
      </c>
      <c r="D20" s="60">
        <f t="shared" si="0"/>
        <v>0</v>
      </c>
      <c r="E20" s="61" t="s">
        <v>78</v>
      </c>
      <c r="F20" s="68" t="s">
        <v>48</v>
      </c>
    </row>
    <row r="21" s="41" customFormat="1" ht="25.05" customHeight="1" spans="1:10">
      <c r="A21" s="57" t="s">
        <v>79</v>
      </c>
      <c r="B21" s="58">
        <v>2</v>
      </c>
      <c r="C21" s="58">
        <v>2</v>
      </c>
      <c r="D21" s="60">
        <f t="shared" si="0"/>
        <v>0</v>
      </c>
      <c r="E21" s="61" t="s">
        <v>80</v>
      </c>
      <c r="F21" s="68" t="s">
        <v>48</v>
      </c>
    </row>
    <row r="22" s="41" customFormat="1" ht="25.05" customHeight="1" spans="1:10">
      <c r="A22" s="57" t="s">
        <v>81</v>
      </c>
      <c r="B22" s="69">
        <v>10</v>
      </c>
      <c r="C22" s="69">
        <v>10</v>
      </c>
      <c r="D22" s="70">
        <f t="shared" ref="D22:D27" si="1">B22-C22</f>
        <v>0</v>
      </c>
      <c r="E22" s="71" t="s">
        <v>82</v>
      </c>
      <c r="F22" s="72" t="s">
        <v>48</v>
      </c>
    </row>
    <row r="23" s="41" customFormat="1" ht="25.05" hidden="1" customHeight="1" spans="1:10">
      <c r="A23" s="73" t="s">
        <v>83</v>
      </c>
      <c r="B23" s="74">
        <v>0</v>
      </c>
      <c r="C23" s="74">
        <v>0</v>
      </c>
      <c r="D23" s="53">
        <f t="shared" si="1"/>
        <v>0</v>
      </c>
      <c r="E23" s="54" t="s">
        <v>59</v>
      </c>
      <c r="F23" s="75" t="s">
        <v>60</v>
      </c>
    </row>
    <row r="24" s="41" customFormat="1" ht="25.05" hidden="1" customHeight="1" spans="1:10">
      <c r="A24" s="62" t="s">
        <v>84</v>
      </c>
      <c r="B24" s="63">
        <v>0</v>
      </c>
      <c r="C24" s="63">
        <v>0</v>
      </c>
      <c r="D24" s="60">
        <f t="shared" si="1"/>
        <v>0</v>
      </c>
      <c r="E24" s="64" t="s">
        <v>59</v>
      </c>
      <c r="F24" s="67" t="s">
        <v>60</v>
      </c>
    </row>
    <row r="25" s="41" customFormat="1" ht="25.05" hidden="1" customHeight="1" spans="1:10">
      <c r="A25" s="57" t="s">
        <v>85</v>
      </c>
      <c r="B25" s="58">
        <v>0</v>
      </c>
      <c r="C25" s="58">
        <v>0</v>
      </c>
      <c r="D25" s="60">
        <f t="shared" si="1"/>
        <v>0</v>
      </c>
      <c r="E25" s="61" t="s">
        <v>59</v>
      </c>
      <c r="F25" s="68" t="s">
        <v>60</v>
      </c>
    </row>
    <row r="26" s="41" customFormat="1" ht="25.05" hidden="1" customHeight="1" spans="1:10">
      <c r="A26" s="76" t="s">
        <v>86</v>
      </c>
      <c r="B26" s="58">
        <v>0</v>
      </c>
      <c r="C26" s="58">
        <v>0</v>
      </c>
      <c r="D26" s="77">
        <f t="shared" si="1"/>
        <v>0</v>
      </c>
      <c r="E26" s="61" t="s">
        <v>59</v>
      </c>
      <c r="F26" s="68" t="s">
        <v>60</v>
      </c>
    </row>
    <row r="27" s="41" customFormat="1" ht="25.05" customHeight="1" spans="1:10">
      <c r="A27" s="78" t="s">
        <v>40</v>
      </c>
      <c r="B27" s="79">
        <v>0</v>
      </c>
      <c r="C27" s="80">
        <v>0</v>
      </c>
      <c r="D27" s="81">
        <f t="shared" si="1"/>
        <v>0</v>
      </c>
      <c r="E27" s="82" t="s">
        <v>87</v>
      </c>
      <c r="F27" s="83" t="s">
        <v>48</v>
      </c>
    </row>
    <row r="28" s="42" customFormat="1" ht="31" customHeight="1" spans="1:10">
      <c r="A28" s="84" t="s">
        <v>18</v>
      </c>
      <c r="B28" s="47">
        <f>SUM(B4:B27)</f>
        <v>558</v>
      </c>
      <c r="C28" s="48">
        <f>SUM(C4:C27)</f>
        <v>531</v>
      </c>
      <c r="D28" s="48">
        <f>SUM(D4:D27)</f>
        <v>27</v>
      </c>
      <c r="E28" s="85"/>
      <c r="F28" s="86"/>
    </row>
    <row r="29" s="39" customFormat="1" customHeight="1" spans="1:10">
      <c r="A29" s="43"/>
      <c r="B29" s="87"/>
      <c r="C29" s="87"/>
      <c r="D29" s="88"/>
      <c r="E29" s="87"/>
    </row>
    <row r="30" s="39" customFormat="1" customHeight="1" spans="1:10">
      <c r="C30" s="43"/>
      <c r="E30" s="43"/>
    </row>
    <row r="31" s="39" customFormat="1" customHeight="1" spans="1:10">
      <c r="A31" s="89"/>
      <c r="C31" s="43"/>
      <c r="E31" s="43"/>
    </row>
    <row r="32" s="39" customFormat="1" customHeight="1" spans="1:10">
      <c r="A32" s="89"/>
      <c r="C32" s="43"/>
      <c r="E32" s="43"/>
    </row>
    <row r="33" s="39" customFormat="1" customHeight="1" spans="1:5">
      <c r="C33" s="43"/>
      <c r="E33" s="43"/>
    </row>
    <row r="34" s="39" customFormat="1" customHeight="1" spans="1:5">
      <c r="A34" s="89"/>
      <c r="C34" s="43"/>
      <c r="E34" s="43"/>
    </row>
    <row r="35" s="39" customFormat="1" customHeight="1" spans="1:5">
      <c r="C35" s="43"/>
      <c r="E35" s="43"/>
    </row>
    <row r="36" s="39" customFormat="1" customHeight="1" spans="1:5">
      <c r="C36" s="43"/>
      <c r="E36" s="43"/>
    </row>
    <row r="37" s="39" customFormat="1" customHeight="1" spans="1:5">
      <c r="C37" s="43"/>
      <c r="E37" s="43"/>
    </row>
    <row r="38" s="39" customFormat="1" customHeight="1" spans="1:5">
      <c r="C38" s="43"/>
      <c r="E38" s="43"/>
    </row>
    <row r="39" s="39" customFormat="1" customHeight="1" spans="1:5">
      <c r="C39" s="43"/>
      <c r="D39" s="89"/>
      <c r="E39" s="43"/>
    </row>
    <row r="40" s="39" customFormat="1" customHeight="1" spans="1:5">
      <c r="C40" s="43"/>
      <c r="E40" s="43"/>
    </row>
    <row r="41" s="39" customFormat="1" customHeight="1" spans="1:5">
      <c r="C41" s="43"/>
      <c r="E41" s="43"/>
    </row>
    <row r="42" s="39" customFormat="1" customHeight="1" spans="1:5">
      <c r="C42" s="43"/>
      <c r="E42" s="43"/>
    </row>
    <row r="43" s="39" customFormat="1" customHeight="1" spans="1:5">
      <c r="C43" s="43"/>
      <c r="E43" s="43"/>
    </row>
    <row r="44" s="39" customFormat="1" customHeight="1"/>
    <row r="45" s="39" customFormat="1" customHeight="1" spans="1:5">
      <c r="C45" s="43"/>
      <c r="E45" s="43"/>
    </row>
    <row r="46" s="39" customFormat="1" customHeight="1" spans="1:5">
      <c r="C46" s="43"/>
      <c r="E46" s="43"/>
    </row>
    <row r="47" s="39" customFormat="1" customHeight="1" spans="1:5">
      <c r="C47" s="43"/>
      <c r="E47" s="43"/>
    </row>
    <row r="48" s="39" customFormat="1" customHeight="1" spans="1:5">
      <c r="C48" s="43"/>
      <c r="E48" s="43"/>
    </row>
    <row r="49" s="39" customFormat="1" customHeight="1" spans="3:5">
      <c r="C49" s="43"/>
      <c r="E49" s="43"/>
    </row>
    <row r="50" s="39" customFormat="1" customHeight="1" spans="3:5">
      <c r="C50" s="43"/>
      <c r="E50" s="43"/>
    </row>
    <row r="51" s="39" customFormat="1" customHeight="1" spans="3:5">
      <c r="C51" s="43"/>
      <c r="E51" s="43"/>
    </row>
    <row r="52" s="39" customFormat="1" customHeight="1" spans="3:5">
      <c r="C52" s="43"/>
      <c r="E52" s="43"/>
    </row>
    <row r="53" s="39" customFormat="1" customHeight="1" spans="3:5">
      <c r="C53" s="43"/>
      <c r="E53" s="43"/>
    </row>
    <row r="54" s="39" customFormat="1" customHeight="1" spans="3:5">
      <c r="C54" s="43"/>
      <c r="E54" s="43"/>
    </row>
    <row r="55" s="39" customFormat="1" customHeight="1" spans="3:5">
      <c r="C55" s="43"/>
      <c r="E55" s="43"/>
    </row>
    <row r="56" s="39" customFormat="1" customHeight="1" spans="3:5">
      <c r="C56" s="43"/>
      <c r="E56" s="43"/>
    </row>
    <row r="57" s="39" customFormat="1" customHeight="1" spans="3:5">
      <c r="C57" s="43"/>
      <c r="E57" s="43"/>
    </row>
    <row r="58" s="39" customFormat="1" customHeight="1" spans="3:5">
      <c r="C58" s="43"/>
      <c r="E58" s="43"/>
    </row>
    <row r="59" s="39" customFormat="1" customHeight="1" spans="3:5">
      <c r="C59" s="43"/>
      <c r="E59" s="43"/>
    </row>
    <row r="60" s="39" customFormat="1" customHeight="1"/>
    <row r="61" s="39" customFormat="1" customHeight="1" spans="3:5">
      <c r="C61" s="43"/>
      <c r="E61" s="43"/>
    </row>
    <row r="62" s="39" customFormat="1" customHeight="1" spans="3:5">
      <c r="C62" s="43"/>
      <c r="E62" s="43"/>
    </row>
    <row r="63" s="39" customFormat="1" customHeight="1" spans="3:5">
      <c r="C63" s="43"/>
      <c r="E63" s="43"/>
    </row>
    <row r="64" s="39" customFormat="1" customHeight="1" spans="3:5">
      <c r="C64" s="43"/>
      <c r="E64" s="43"/>
    </row>
    <row r="65" s="39" customFormat="1" customHeight="1" spans="3:5">
      <c r="C65" s="43"/>
      <c r="E65" s="43"/>
    </row>
    <row r="66" s="39" customFormat="1" customHeight="1" spans="3:5">
      <c r="C66" s="43"/>
      <c r="E66" s="43"/>
    </row>
    <row r="67" s="39" customFormat="1" customHeight="1" spans="3:5">
      <c r="C67" s="43"/>
      <c r="E67" s="43"/>
    </row>
    <row r="68" s="39" customFormat="1" customHeight="1" spans="3:5">
      <c r="C68" s="43"/>
      <c r="E68" s="43"/>
    </row>
    <row r="69" s="39" customFormat="1" customHeight="1" spans="3:5">
      <c r="C69" s="43"/>
      <c r="E69" s="43"/>
    </row>
    <row r="70" s="39" customFormat="1" customHeight="1" spans="3:5">
      <c r="C70" s="43"/>
      <c r="E70" s="43"/>
    </row>
    <row r="71" s="39" customFormat="1" customHeight="1" spans="3:5">
      <c r="C71" s="43"/>
      <c r="E71" s="43"/>
    </row>
    <row r="72" s="39" customFormat="1" customHeight="1" spans="3:5">
      <c r="C72" s="43"/>
      <c r="E72" s="43"/>
    </row>
    <row r="73" s="39" customFormat="1" customHeight="1" spans="3:5">
      <c r="C73" s="43"/>
      <c r="E73" s="43"/>
    </row>
    <row r="74" s="39" customFormat="1" customHeight="1" spans="3:5">
      <c r="C74" s="43"/>
      <c r="E74" s="43"/>
    </row>
    <row r="75" s="39" customFormat="1" customHeight="1" spans="3:5">
      <c r="C75" s="43"/>
      <c r="E75" s="43"/>
    </row>
    <row r="76" s="39" customFormat="1" customHeight="1" spans="3:5">
      <c r="C76" s="43"/>
      <c r="E76" s="43"/>
    </row>
    <row r="77" s="39" customFormat="1" customHeight="1" spans="3:5">
      <c r="C77" s="43"/>
      <c r="E77" s="43"/>
    </row>
    <row r="78" s="39" customFormat="1" customHeight="1" spans="3:5">
      <c r="C78" s="43"/>
      <c r="E78" s="43"/>
    </row>
    <row r="79" s="39" customFormat="1" customHeight="1" spans="3:5">
      <c r="C79" s="43"/>
      <c r="E79" s="43"/>
    </row>
    <row r="80" s="39" customFormat="1" customHeight="1" spans="3:5">
      <c r="C80" s="43"/>
      <c r="E80" s="43"/>
    </row>
    <row r="81" s="39" customFormat="1" customHeight="1" spans="3:5">
      <c r="C81" s="43"/>
      <c r="E81" s="43"/>
    </row>
    <row r="82" s="39" customFormat="1" customHeight="1" spans="3:5">
      <c r="C82" s="43"/>
      <c r="E82" s="43"/>
    </row>
    <row r="83" s="39" customFormat="1" customHeight="1" spans="3:5">
      <c r="C83" s="43"/>
      <c r="E83" s="43"/>
    </row>
    <row r="84" s="39" customFormat="1" customHeight="1" spans="3:5">
      <c r="C84" s="43"/>
      <c r="E84" s="43"/>
    </row>
    <row r="85" s="39" customFormat="1" customHeight="1" spans="3:5">
      <c r="C85" s="43"/>
      <c r="E85" s="43"/>
    </row>
    <row r="86" s="39" customFormat="1" customHeight="1" spans="3:5">
      <c r="C86" s="43"/>
      <c r="E86" s="43"/>
    </row>
    <row r="87" s="39" customFormat="1" customHeight="1" spans="3:5">
      <c r="C87" s="43"/>
      <c r="E87" s="43"/>
    </row>
    <row r="88" s="39" customFormat="1" customHeight="1" spans="3:5">
      <c r="C88" s="43"/>
      <c r="E88" s="43"/>
    </row>
    <row r="89" s="39" customFormat="1" customHeight="1" spans="3:5">
      <c r="C89" s="43"/>
      <c r="E89" s="43"/>
    </row>
    <row r="90" s="39" customFormat="1" customHeight="1" spans="3:5">
      <c r="C90" s="43"/>
      <c r="E90" s="43"/>
    </row>
    <row r="91" s="39" customFormat="1" customHeight="1" spans="3:5">
      <c r="C91" s="43"/>
      <c r="E91" s="43"/>
    </row>
    <row r="92" s="39" customFormat="1" customHeight="1" spans="3:5">
      <c r="C92" s="43"/>
      <c r="E92" s="43"/>
    </row>
    <row r="93" s="39" customFormat="1" customHeight="1" spans="3:5">
      <c r="C93" s="43"/>
      <c r="E93" s="43"/>
    </row>
    <row r="94" s="39" customFormat="1" customHeight="1" spans="3:5">
      <c r="C94" s="43"/>
      <c r="E94" s="43"/>
    </row>
    <row r="95" s="39" customFormat="1" customHeight="1" spans="3:5">
      <c r="C95" s="43"/>
      <c r="E95" s="43"/>
    </row>
    <row r="96" s="39" customFormat="1" customHeight="1" spans="3:5">
      <c r="C96" s="43"/>
      <c r="E96" s="43"/>
    </row>
    <row r="97" s="39" customFormat="1" customHeight="1" spans="3:5">
      <c r="C97" s="43"/>
      <c r="E97" s="43"/>
    </row>
    <row r="98" s="39" customFormat="1" customHeight="1" spans="3:5">
      <c r="C98" s="43"/>
      <c r="E98" s="43"/>
    </row>
    <row r="99" s="39" customFormat="1" customHeight="1" spans="3:5">
      <c r="C99" s="43"/>
      <c r="E99" s="43"/>
    </row>
    <row r="100" s="39" customFormat="1" customHeight="1" spans="3:5">
      <c r="C100" s="43"/>
      <c r="E100" s="43"/>
    </row>
    <row r="101" s="39" customFormat="1" customHeight="1" spans="3:5">
      <c r="C101" s="43"/>
      <c r="E101" s="43"/>
    </row>
    <row r="102" s="39" customFormat="1" customHeight="1" spans="3:5">
      <c r="C102" s="43"/>
      <c r="E102" s="43"/>
    </row>
    <row r="103" s="39" customFormat="1" customHeight="1" spans="3:5">
      <c r="C103" s="43"/>
      <c r="E103" s="43"/>
    </row>
    <row r="104" s="39" customFormat="1" customHeight="1" spans="3:5">
      <c r="C104" s="43"/>
      <c r="E104" s="43"/>
    </row>
    <row r="105" s="39" customFormat="1" customHeight="1" spans="3:5">
      <c r="C105" s="43"/>
      <c r="E105" s="43"/>
    </row>
    <row r="106" s="39" customFormat="1" customHeight="1" spans="3:5">
      <c r="C106" s="43"/>
      <c r="E106" s="43"/>
    </row>
    <row r="107" s="39" customFormat="1" customHeight="1" spans="3:5">
      <c r="C107" s="43"/>
      <c r="E107" s="43"/>
    </row>
    <row r="108" s="39" customFormat="1" customHeight="1" spans="3:5">
      <c r="C108" s="43"/>
      <c r="E108" s="43"/>
    </row>
    <row r="109" s="39" customFormat="1" customHeight="1" spans="3:5">
      <c r="C109" s="43"/>
      <c r="E109" s="43"/>
    </row>
    <row r="110" s="39" customFormat="1" customHeight="1" spans="3:5">
      <c r="C110" s="43"/>
      <c r="E110" s="43"/>
    </row>
    <row r="111" s="39" customFormat="1" customHeight="1" spans="3:5">
      <c r="C111" s="43"/>
      <c r="E111" s="43"/>
    </row>
    <row r="112" s="39" customFormat="1" customHeight="1"/>
  </sheetData>
  <mergeCells count="2">
    <mergeCell ref="A1:F1"/>
    <mergeCell ref="F4:F17"/>
  </mergeCells>
  <printOptions horizontalCentered="1"/>
  <pageMargins left="0.75" right="0.75" top="1" bottom="1" header="0.5" footer="0.5"/>
  <pageSetup paperSize="9" orientation="portrait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5"/>
    <pageSetUpPr fitToPage="1"/>
  </sheetPr>
  <dimension ref="A2:G20"/>
  <sheetViews>
    <sheetView topLeftCell="A10" workbookViewId="0">
      <selection activeCell="D14" sqref="D14"/>
    </sheetView>
  </sheetViews>
  <sheetFormatPr defaultColWidth="9.69166666666667" defaultRowHeight="20.1" customHeight="1" outlineLevelCol="6"/>
  <cols>
    <col min="1" max="1" width="22.75" style="3" customWidth="1"/>
    <col min="2" max="2" width="14.1" style="2" customWidth="1"/>
    <col min="3" max="3" width="29.8" style="1" customWidth="1"/>
    <col min="4" max="4" width="30.8" style="1" customWidth="1"/>
    <col min="5" max="5" width="34.6166666666667" style="1" customWidth="1"/>
    <col min="6" max="16383" width="9.69166666666667" style="1"/>
    <col min="16384" max="16384" width="9.69166666666667" style="4"/>
  </cols>
  <sheetData>
    <row r="2" s="1" customFormat="1" ht="30" customHeight="1" spans="1:7">
      <c r="A2" s="5" t="s">
        <v>88</v>
      </c>
      <c r="B2" s="5"/>
      <c r="C2" s="5"/>
      <c r="D2" s="5"/>
      <c r="E2" s="5"/>
    </row>
    <row r="3" s="1" customFormat="1" ht="34" customHeight="1" spans="1:7">
      <c r="A3" s="6" t="str">
        <f>北京印厂!A3</f>
        <v>期数：2649   版数：24    出版日期：2026年4月27日</v>
      </c>
      <c r="B3" s="7"/>
      <c r="C3" s="6"/>
      <c r="D3" s="6"/>
      <c r="E3" s="6"/>
      <c r="F3" s="8"/>
      <c r="G3" s="8"/>
    </row>
    <row r="4" s="2" customFormat="1" ht="25.05" customHeight="1" spans="1:7">
      <c r="A4" s="9" t="s">
        <v>89</v>
      </c>
      <c r="B4" s="10" t="s">
        <v>23</v>
      </c>
      <c r="C4" s="11" t="s">
        <v>90</v>
      </c>
      <c r="D4" s="12" t="s">
        <v>91</v>
      </c>
      <c r="E4" s="13" t="s">
        <v>92</v>
      </c>
    </row>
    <row r="5" s="2" customFormat="1" ht="25.05" customHeight="1" spans="1:7">
      <c r="A5" s="14" t="s">
        <v>58</v>
      </c>
      <c r="B5" s="15">
        <v>29</v>
      </c>
      <c r="C5" s="16" t="s">
        <v>93</v>
      </c>
      <c r="D5" s="17"/>
      <c r="E5" s="18"/>
    </row>
    <row r="6" s="2" customFormat="1" ht="25.05" customHeight="1" spans="1:7">
      <c r="A6" s="19" t="s">
        <v>61</v>
      </c>
      <c r="B6" s="15">
        <v>3</v>
      </c>
      <c r="C6" s="16" t="s">
        <v>94</v>
      </c>
      <c r="D6" s="17"/>
      <c r="E6" s="18"/>
    </row>
    <row r="7" s="2" customFormat="1" ht="25.05" customHeight="1" spans="1:7">
      <c r="A7" s="19" t="s">
        <v>62</v>
      </c>
      <c r="B7" s="15">
        <v>45</v>
      </c>
      <c r="C7" s="16" t="s">
        <v>95</v>
      </c>
      <c r="D7" s="17"/>
      <c r="E7" s="18"/>
    </row>
    <row r="8" s="2" customFormat="1" ht="25.05" customHeight="1" spans="1:7">
      <c r="A8" s="19" t="s">
        <v>63</v>
      </c>
      <c r="B8" s="15">
        <v>4</v>
      </c>
      <c r="C8" s="16" t="s">
        <v>96</v>
      </c>
      <c r="D8" s="17"/>
      <c r="E8" s="18"/>
    </row>
    <row r="9" s="2" customFormat="1" ht="25.05" customHeight="1" spans="1:7">
      <c r="A9" s="19" t="s">
        <v>64</v>
      </c>
      <c r="B9" s="15">
        <v>25</v>
      </c>
      <c r="C9" s="16" t="s">
        <v>97</v>
      </c>
      <c r="D9" s="20"/>
      <c r="E9" s="18"/>
    </row>
    <row r="10" s="2" customFormat="1" ht="25.05" customHeight="1" spans="1:7">
      <c r="A10" s="19" t="s">
        <v>65</v>
      </c>
      <c r="B10" s="15">
        <v>25</v>
      </c>
      <c r="C10" s="16" t="s">
        <v>98</v>
      </c>
      <c r="D10" s="16"/>
      <c r="E10" s="21"/>
    </row>
    <row r="11" s="1" customFormat="1" ht="25.05" customHeight="1" spans="1:7">
      <c r="A11" s="22" t="s">
        <v>66</v>
      </c>
      <c r="B11" s="15">
        <v>10</v>
      </c>
      <c r="C11" s="23" t="s">
        <v>95</v>
      </c>
      <c r="D11" s="24"/>
      <c r="E11" s="25"/>
    </row>
    <row r="12" s="1" customFormat="1" ht="25.05" customHeight="1" spans="1:7">
      <c r="A12" s="26" t="s">
        <v>67</v>
      </c>
      <c r="B12" s="15">
        <v>5</v>
      </c>
      <c r="C12" s="27" t="s">
        <v>99</v>
      </c>
      <c r="D12" s="28"/>
      <c r="E12" s="29"/>
    </row>
    <row r="13" s="1" customFormat="1" ht="25.05" customHeight="1" spans="1:7">
      <c r="A13" s="22" t="s">
        <v>68</v>
      </c>
      <c r="B13" s="15">
        <v>7</v>
      </c>
      <c r="C13" s="23" t="s">
        <v>100</v>
      </c>
      <c r="D13" s="28"/>
      <c r="E13" s="29"/>
    </row>
    <row r="14" s="1" customFormat="1" ht="25.05" customHeight="1" spans="1:7">
      <c r="A14" s="22" t="s">
        <v>69</v>
      </c>
      <c r="B14" s="15">
        <v>2</v>
      </c>
      <c r="C14" s="23" t="s">
        <v>101</v>
      </c>
      <c r="D14" s="30"/>
      <c r="E14" s="29"/>
    </row>
    <row r="15" s="1" customFormat="1" ht="25.05" customHeight="1" spans="1:7">
      <c r="A15" s="22" t="s">
        <v>70</v>
      </c>
      <c r="B15" s="15">
        <v>64</v>
      </c>
      <c r="C15" s="23"/>
      <c r="D15" s="31" t="s">
        <v>102</v>
      </c>
      <c r="E15" s="29"/>
    </row>
    <row r="16" s="1" customFormat="1" ht="25.05" customHeight="1" spans="1:7">
      <c r="A16" s="22" t="s">
        <v>71</v>
      </c>
      <c r="B16" s="15">
        <v>1</v>
      </c>
      <c r="C16" s="32" t="s">
        <v>103</v>
      </c>
      <c r="D16" s="33"/>
      <c r="E16" s="29"/>
    </row>
    <row r="17" s="1" customFormat="1" ht="25.05" customHeight="1" spans="1:5">
      <c r="A17" s="22" t="s">
        <v>72</v>
      </c>
      <c r="B17" s="15">
        <v>10</v>
      </c>
      <c r="C17" s="32"/>
      <c r="D17" s="33"/>
      <c r="E17" s="29"/>
    </row>
    <row r="18" s="1" customFormat="1" ht="25.05" customHeight="1" spans="1:5">
      <c r="A18" s="22" t="s">
        <v>104</v>
      </c>
      <c r="B18" s="15">
        <f>'社用报`'!B24</f>
        <v>0</v>
      </c>
      <c r="C18" s="32"/>
      <c r="D18" s="33"/>
      <c r="E18" s="29"/>
    </row>
    <row r="19" s="1" customFormat="1" ht="25.05" customHeight="1" spans="1:5">
      <c r="A19" s="22" t="s">
        <v>18</v>
      </c>
      <c r="B19" s="27">
        <f>SUM(B5:B18)</f>
        <v>230</v>
      </c>
      <c r="C19" s="23"/>
      <c r="D19" s="28"/>
      <c r="E19" s="29"/>
    </row>
    <row r="20" s="1" customFormat="1" ht="25.05" customHeight="1" spans="1:5">
      <c r="A20" s="34" t="s">
        <v>105</v>
      </c>
      <c r="B20" s="35">
        <f>B19/50</f>
        <v>4.6</v>
      </c>
      <c r="C20" s="36"/>
      <c r="D20" s="37"/>
      <c r="E20" s="38"/>
    </row>
  </sheetData>
  <mergeCells count="2">
    <mergeCell ref="A2:E2"/>
    <mergeCell ref="A3:E3"/>
  </mergeCells>
  <printOptions horizontalCentered="1" verticalCentered="1"/>
  <pageMargins left="0.739583333333333" right="0.739583333333333" top="0.739583333333333" bottom="0.739583333333333" header="0.5" footer="0.5"/>
  <pageSetup paperSize="9" scale="95" orientation="landscape" blackAndWhite="1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北京印厂</vt:lpstr>
      <vt:lpstr>人民日报印厂`</vt:lpstr>
      <vt:lpstr>零售渠道`</vt:lpstr>
      <vt:lpstr>订阅渠道`</vt:lpstr>
      <vt:lpstr>社用报`</vt:lpstr>
      <vt:lpstr>收发室自留分发（需打印）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zzc</dc:creator>
  <cp:lastModifiedBy>卢师傅</cp:lastModifiedBy>
  <dcterms:created xsi:type="dcterms:W3CDTF">2024-03-02T22:35:00Z</dcterms:created>
  <dcterms:modified xsi:type="dcterms:W3CDTF">2026-04-24T06:19:47Z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8972BA85B86E04BEBAA2456682891A15_43</vt:lpwstr>
  </property>
  <property fmtid="{D5CDD505-2E9C-101B-9397-08002B2CF9AE}" pid="3" name="KSOProductBuildVer">
    <vt:lpwstr>2052-12.1.0.25865</vt:lpwstr>
  </property>
  <property fmtid="{D5CDD505-2E9C-101B-9397-08002B2CF9AE}" pid="4" name="CalculationRule">
    <vt:i4>0</vt:i4>
  </property>
</Properties>
</file>